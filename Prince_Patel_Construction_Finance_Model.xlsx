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https://uregina-my.sharepoint.com/personal/ptp414_uregina_ca/Documents/"/>
    </mc:Choice>
  </mc:AlternateContent>
  <xr:revisionPtr revIDLastSave="21" documentId="8_{BF5E844F-CBFC-0C4A-9B16-0BA9A3F6A426}" xr6:coauthVersionLast="47" xr6:coauthVersionMax="47" xr10:uidLastSave="{5E9B857E-71D3-0145-8C67-4ED5006C9952}"/>
  <bookViews>
    <workbookView xWindow="0" yWindow="660" windowWidth="29400" windowHeight="16960" activeTab="2" xr2:uid="{00000000-000D-0000-FFFF-FFFF00000000}"/>
  </bookViews>
  <sheets>
    <sheet name="Dashboard" sheetId="1" r:id="rId1"/>
    <sheet name="Assumptions" sheetId="2" r:id="rId2"/>
    <sheet name="Financial Model" sheetId="3" r:id="rId3"/>
    <sheet name="Cash Forecast" sheetId="4" r:id="rId4"/>
    <sheet name="Project Master" sheetId="5" r:id="rId5"/>
    <sheet name="Transactions" sheetId="6" r:id="rId6"/>
    <sheet name="Model Checks" sheetId="7" r:id="rId7"/>
    <sheet name="Guid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3" l="1"/>
  <c r="R11" i="3"/>
  <c r="R12" i="3"/>
  <c r="P12" i="3" s="1"/>
  <c r="R13" i="3"/>
  <c r="P13" i="3" s="1"/>
  <c r="R9" i="3"/>
  <c r="P9" i="3" s="1"/>
  <c r="E9" i="3"/>
  <c r="C11" i="7"/>
  <c r="C10" i="7"/>
  <c r="C9" i="7"/>
  <c r="C8" i="7"/>
  <c r="C7" i="7"/>
  <c r="C9" i="4"/>
  <c r="S13" i="3"/>
  <c r="N13" i="3"/>
  <c r="J13" i="3"/>
  <c r="F14" i="1" s="1"/>
  <c r="F13" i="3"/>
  <c r="D13" i="3"/>
  <c r="C14" i="1" s="1"/>
  <c r="C13" i="3"/>
  <c r="B13" i="3"/>
  <c r="A13" i="3"/>
  <c r="M13" i="3" s="1"/>
  <c r="O13" i="3" s="1"/>
  <c r="I14" i="1" s="1"/>
  <c r="S12" i="3"/>
  <c r="N12" i="3"/>
  <c r="J12" i="3"/>
  <c r="F13" i="1" s="1"/>
  <c r="F12" i="3"/>
  <c r="D12" i="3"/>
  <c r="C13" i="1" s="1"/>
  <c r="C12" i="3"/>
  <c r="B12" i="3"/>
  <c r="A12" i="3"/>
  <c r="M12" i="3" s="1"/>
  <c r="O12" i="3" s="1"/>
  <c r="I13" i="1" s="1"/>
  <c r="S11" i="3"/>
  <c r="P11" i="3"/>
  <c r="N11" i="3"/>
  <c r="J11" i="3"/>
  <c r="F12" i="1" s="1"/>
  <c r="F11" i="3"/>
  <c r="D11" i="3"/>
  <c r="C12" i="1" s="1"/>
  <c r="C11" i="3"/>
  <c r="B11" i="3"/>
  <c r="A11" i="3"/>
  <c r="M11" i="3" s="1"/>
  <c r="O11" i="3" s="1"/>
  <c r="I12" i="1" s="1"/>
  <c r="S10" i="3"/>
  <c r="P10" i="3"/>
  <c r="N10" i="3"/>
  <c r="J10" i="3"/>
  <c r="F11" i="1" s="1"/>
  <c r="F10" i="3"/>
  <c r="D10" i="3"/>
  <c r="C11" i="1" s="1"/>
  <c r="C10" i="3"/>
  <c r="B10" i="3"/>
  <c r="A10" i="3"/>
  <c r="M10" i="3" s="1"/>
  <c r="O10" i="3" s="1"/>
  <c r="I11" i="1" s="1"/>
  <c r="S9" i="3"/>
  <c r="N9" i="3"/>
  <c r="N14" i="3" s="1"/>
  <c r="B9" i="7" s="1"/>
  <c r="D9" i="7" s="1"/>
  <c r="E9" i="7" s="1"/>
  <c r="J9" i="3"/>
  <c r="F10" i="1" s="1"/>
  <c r="F9" i="3"/>
  <c r="F14" i="3" s="1"/>
  <c r="D9" i="3"/>
  <c r="C10" i="1" s="1"/>
  <c r="C9" i="3"/>
  <c r="B9" i="3"/>
  <c r="A9" i="3"/>
  <c r="M9" i="3" s="1"/>
  <c r="B6" i="3"/>
  <c r="C26" i="2"/>
  <c r="J15" i="4" s="1"/>
  <c r="C21" i="2"/>
  <c r="M13" i="4" s="1"/>
  <c r="C16" i="2"/>
  <c r="F11" i="4" s="1"/>
  <c r="C11" i="2"/>
  <c r="G13" i="3" s="1"/>
  <c r="B7" i="2"/>
  <c r="B5" i="1" s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B14" i="1"/>
  <c r="A14" i="1"/>
  <c r="B13" i="1"/>
  <c r="A13" i="1"/>
  <c r="B12" i="1"/>
  <c r="A12" i="1"/>
  <c r="B11" i="1"/>
  <c r="A11" i="1"/>
  <c r="B10" i="1"/>
  <c r="A10" i="1"/>
  <c r="P14" i="3" l="1"/>
  <c r="D13" i="4"/>
  <c r="N13" i="4"/>
  <c r="M14" i="3"/>
  <c r="B8" i="7" s="1"/>
  <c r="D8" i="7" s="1"/>
  <c r="E8" i="7" s="1"/>
  <c r="O9" i="3"/>
  <c r="Q10" i="3"/>
  <c r="Q11" i="3"/>
  <c r="Q12" i="3"/>
  <c r="Q13" i="3"/>
  <c r="G11" i="4"/>
  <c r="K15" i="4"/>
  <c r="E10" i="3"/>
  <c r="E11" i="3"/>
  <c r="E12" i="3"/>
  <c r="E13" i="3"/>
  <c r="H13" i="3" s="1"/>
  <c r="D14" i="1" s="1"/>
  <c r="R14" i="3"/>
  <c r="H11" i="4"/>
  <c r="E13" i="4"/>
  <c r="O13" i="4"/>
  <c r="L15" i="4"/>
  <c r="G9" i="3"/>
  <c r="Q9" i="3"/>
  <c r="G10" i="3"/>
  <c r="G11" i="3"/>
  <c r="G12" i="3"/>
  <c r="J14" i="3"/>
  <c r="J11" i="4"/>
  <c r="G13" i="4"/>
  <c r="D15" i="4"/>
  <c r="N15" i="4"/>
  <c r="K11" i="4"/>
  <c r="E15" i="4"/>
  <c r="B5" i="3"/>
  <c r="L11" i="4"/>
  <c r="I13" i="4"/>
  <c r="F15" i="4"/>
  <c r="B5" i="4"/>
  <c r="I11" i="4"/>
  <c r="F13" i="4"/>
  <c r="F16" i="4" s="1"/>
  <c r="C15" i="4"/>
  <c r="M15" i="4"/>
  <c r="M11" i="4"/>
  <c r="G15" i="4"/>
  <c r="D14" i="3"/>
  <c r="D11" i="4"/>
  <c r="K13" i="4"/>
  <c r="H15" i="4"/>
  <c r="E11" i="4"/>
  <c r="O11" i="4"/>
  <c r="L13" i="4"/>
  <c r="I15" i="4"/>
  <c r="H13" i="4"/>
  <c r="O15" i="4"/>
  <c r="C11" i="4"/>
  <c r="J13" i="4"/>
  <c r="N11" i="4"/>
  <c r="C13" i="4"/>
  <c r="G16" i="4" l="1"/>
  <c r="I16" i="4"/>
  <c r="K13" i="3"/>
  <c r="G14" i="1" s="1"/>
  <c r="E16" i="4"/>
  <c r="C16" i="4"/>
  <c r="C17" i="4" s="1"/>
  <c r="H11" i="3"/>
  <c r="B19" i="1"/>
  <c r="D9" i="4"/>
  <c r="W19" i="1"/>
  <c r="F15" i="1"/>
  <c r="I13" i="3"/>
  <c r="L16" i="4"/>
  <c r="M16" i="4"/>
  <c r="J16" i="4"/>
  <c r="H16" i="4"/>
  <c r="H12" i="3"/>
  <c r="Q14" i="3"/>
  <c r="H10" i="3"/>
  <c r="I10" i="1"/>
  <c r="O14" i="3"/>
  <c r="I15" i="1" s="1"/>
  <c r="D16" i="4"/>
  <c r="N16" i="4"/>
  <c r="O16" i="4"/>
  <c r="A7" i="1"/>
  <c r="C15" i="1"/>
  <c r="B10" i="7"/>
  <c r="D10" i="7" s="1"/>
  <c r="E10" i="7" s="1"/>
  <c r="K16" i="4"/>
  <c r="G14" i="3"/>
  <c r="E14" i="3"/>
  <c r="B7" i="7" s="1"/>
  <c r="D7" i="7" s="1"/>
  <c r="E7" i="7" s="1"/>
  <c r="H9" i="3"/>
  <c r="L13" i="3" l="1"/>
  <c r="H14" i="1" s="1"/>
  <c r="D12" i="1"/>
  <c r="I11" i="3"/>
  <c r="D17" i="4"/>
  <c r="K11" i="3"/>
  <c r="G12" i="1" s="1"/>
  <c r="D10" i="1"/>
  <c r="H14" i="3"/>
  <c r="I9" i="3"/>
  <c r="T9" i="3" s="1"/>
  <c r="K9" i="3"/>
  <c r="E14" i="1"/>
  <c r="T13" i="3"/>
  <c r="J14" i="1" s="1"/>
  <c r="D13" i="1"/>
  <c r="I12" i="3"/>
  <c r="K12" i="3"/>
  <c r="D11" i="1"/>
  <c r="K10" i="3"/>
  <c r="I10" i="3"/>
  <c r="W20" i="1"/>
  <c r="B20" i="1"/>
  <c r="E9" i="4"/>
  <c r="E17" i="4" s="1"/>
  <c r="L11" i="3" l="1"/>
  <c r="H12" i="1" s="1"/>
  <c r="T11" i="3"/>
  <c r="J12" i="1" s="1"/>
  <c r="E12" i="1"/>
  <c r="E13" i="1"/>
  <c r="T12" i="3"/>
  <c r="J13" i="1" s="1"/>
  <c r="G13" i="1"/>
  <c r="L12" i="3"/>
  <c r="H13" i="1" s="1"/>
  <c r="W21" i="1"/>
  <c r="B21" i="1"/>
  <c r="F9" i="4"/>
  <c r="F17" i="4" s="1"/>
  <c r="E11" i="1"/>
  <c r="T10" i="3"/>
  <c r="J11" i="1" s="1"/>
  <c r="G11" i="1"/>
  <c r="L10" i="3"/>
  <c r="H11" i="1" s="1"/>
  <c r="G10" i="1"/>
  <c r="K14" i="3"/>
  <c r="L9" i="3"/>
  <c r="H10" i="1" s="1"/>
  <c r="J10" i="1"/>
  <c r="E10" i="1"/>
  <c r="I14" i="3"/>
  <c r="C7" i="1"/>
  <c r="D15" i="1"/>
  <c r="E7" i="1" l="1"/>
  <c r="E15" i="1"/>
  <c r="W22" i="1"/>
  <c r="G9" i="4"/>
  <c r="G17" i="4" s="1"/>
  <c r="B22" i="1"/>
  <c r="G15" i="1"/>
  <c r="G7" i="1"/>
  <c r="L14" i="3"/>
  <c r="H15" i="1" l="1"/>
  <c r="I7" i="1"/>
  <c r="W23" i="1"/>
  <c r="H9" i="4"/>
  <c r="H17" i="4" s="1"/>
  <c r="B23" i="1"/>
  <c r="I9" i="4" l="1"/>
  <c r="I17" i="4" s="1"/>
  <c r="B24" i="1"/>
  <c r="W24" i="1"/>
  <c r="B25" i="1" l="1"/>
  <c r="W25" i="1"/>
  <c r="J9" i="4"/>
  <c r="J17" i="4" s="1"/>
  <c r="W26" i="1" l="1"/>
  <c r="B26" i="1"/>
  <c r="K9" i="4"/>
  <c r="K17" i="4" s="1"/>
  <c r="B27" i="1" s="1"/>
  <c r="W27" i="1" l="1"/>
  <c r="L9" i="4"/>
  <c r="L17" i="4" s="1"/>
  <c r="B28" i="1" l="1"/>
  <c r="W28" i="1"/>
  <c r="M9" i="4"/>
  <c r="M17" i="4" s="1"/>
  <c r="N9" i="4" l="1"/>
  <c r="N17" i="4" s="1"/>
  <c r="B29" i="1"/>
  <c r="W29" i="1"/>
  <c r="W30" i="1" l="1"/>
  <c r="B30" i="1"/>
  <c r="O9" i="4"/>
  <c r="O17" i="4" s="1"/>
  <c r="W31" i="1" l="1"/>
  <c r="B31" i="1"/>
  <c r="K7" i="1"/>
  <c r="B11" i="7"/>
  <c r="D11" i="7" s="1"/>
  <c r="E11" i="7" s="1"/>
</calcChain>
</file>

<file path=xl/sharedStrings.xml><?xml version="1.0" encoding="utf-8"?>
<sst xmlns="http://schemas.openxmlformats.org/spreadsheetml/2006/main" count="540" uniqueCount="242">
  <si>
    <t>Construction Finance Dashboard</t>
  </si>
  <si>
    <t>Prairie Field Services Ltd. | Results through 31-Aug-26 | CAD</t>
  </si>
  <si>
    <t>Selected case</t>
  </si>
  <si>
    <t>Revised cost budget</t>
  </si>
  <si>
    <t>Estimate at completion</t>
  </si>
  <si>
    <t>Cost variance</t>
  </si>
  <si>
    <t>Projected gross profit</t>
  </si>
  <si>
    <t>Gross margin</t>
  </si>
  <si>
    <t>Ending cash</t>
  </si>
  <si>
    <t>Project</t>
  </si>
  <si>
    <t>Status</t>
  </si>
  <si>
    <t>Revised Budget</t>
  </si>
  <si>
    <t>EAC</t>
  </si>
  <si>
    <t>Cost Variance</t>
  </si>
  <si>
    <t>Contract Revenue</t>
  </si>
  <si>
    <t>Gross Profit</t>
  </si>
  <si>
    <t>Gross Margin</t>
  </si>
  <si>
    <t>Outstanding AR</t>
  </si>
  <si>
    <t>Management Attention</t>
  </si>
  <si>
    <t>Portfolio</t>
  </si>
  <si>
    <t>Week</t>
  </si>
  <si>
    <t>Ending Cash</t>
  </si>
  <si>
    <t>7-Sep</t>
  </si>
  <si>
    <t>14-Sep</t>
  </si>
  <si>
    <t>21-Sep</t>
  </si>
  <si>
    <t>28-Sep</t>
  </si>
  <si>
    <t>5-Oct</t>
  </si>
  <si>
    <t>12-Oct</t>
  </si>
  <si>
    <t>19-Oct</t>
  </si>
  <si>
    <t>26-Oct</t>
  </si>
  <si>
    <t>2-Nov</t>
  </si>
  <si>
    <t>9-Nov</t>
  </si>
  <si>
    <t>16-Nov</t>
  </si>
  <si>
    <t>23-Nov</t>
  </si>
  <si>
    <t>30-Nov</t>
  </si>
  <si>
    <t>Assumptions</t>
  </si>
  <si>
    <t>Select one case. Yellow cells with blue text are editable.</t>
  </si>
  <si>
    <t>Case selector</t>
  </si>
  <si>
    <t>Selector key</t>
  </si>
  <si>
    <t>1</t>
  </si>
  <si>
    <t>Best</t>
  </si>
  <si>
    <t>Starting cash</t>
  </si>
  <si>
    <t>2</t>
  </si>
  <si>
    <t>Base</t>
  </si>
  <si>
    <t>3</t>
  </si>
  <si>
    <t>Worst</t>
  </si>
  <si>
    <t>Remaining project cost adjustment</t>
  </si>
  <si>
    <t>Active selection</t>
  </si>
  <si>
    <t>Customer receipt factor</t>
  </si>
  <si>
    <t>Vendor payment factor</t>
  </si>
  <si>
    <t>Payroll and overhead factor</t>
  </si>
  <si>
    <t>Model note</t>
  </si>
  <si>
    <t>The active case changes project cost forecasts and the 13-week cash forecast.</t>
  </si>
  <si>
    <t>Reporting date</t>
  </si>
  <si>
    <t>Project Financial Model</t>
  </si>
  <si>
    <t>Forecast at completion, profitability, billing and receivables by project</t>
  </si>
  <si>
    <t>Project ID</t>
  </si>
  <si>
    <t>Project Name</t>
  </si>
  <si>
    <t>Industry</t>
  </si>
  <si>
    <t>Revised Cost Budget</t>
  </si>
  <si>
    <t>Actual Cost to Date</t>
  </si>
  <si>
    <t>Open Commitments</t>
  </si>
  <si>
    <t>Estimate to Complete</t>
  </si>
  <si>
    <t>Estimate at Completion</t>
  </si>
  <si>
    <t>Revised Contract Revenue</t>
  </si>
  <si>
    <t>Projected Gross Profit</t>
  </si>
  <si>
    <t>Client Billings</t>
  </si>
  <si>
    <t>Cash Collected</t>
  </si>
  <si>
    <t>Outstanding Receivables</t>
  </si>
  <si>
    <t>Revenue Recognized</t>
  </si>
  <si>
    <t>Unbilled Revenue</t>
  </si>
  <si>
    <t>Completion %</t>
  </si>
  <si>
    <t>Project Status</t>
  </si>
  <si>
    <t>TOTAL</t>
  </si>
  <si>
    <t>13-Week Cash Forecast</t>
  </si>
  <si>
    <t>Company-level cash forecast driven by the selected scenario</t>
  </si>
  <si>
    <t>Forecast start</t>
  </si>
  <si>
    <t>Cash flow item</t>
  </si>
  <si>
    <t>Type</t>
  </si>
  <si>
    <t>Beginning cash</t>
  </si>
  <si>
    <t>Calculated</t>
  </si>
  <si>
    <t>Base customer receipts</t>
  </si>
  <si>
    <t>Input</t>
  </si>
  <si>
    <t>Forecast customer receipts</t>
  </si>
  <si>
    <t>Base vendor payments</t>
  </si>
  <si>
    <t>Forecast vendor payments</t>
  </si>
  <si>
    <t>Base payroll and overhead</t>
  </si>
  <si>
    <t>Forecast payroll and overhead</t>
  </si>
  <si>
    <t>Net cash flow</t>
  </si>
  <si>
    <t>Project Master</t>
  </si>
  <si>
    <t>Fictional construction, utility and oil and gas projects</t>
  </si>
  <si>
    <t>Project Manager</t>
  </si>
  <si>
    <t>Location</t>
  </si>
  <si>
    <t>Start Date</t>
  </si>
  <si>
    <t>Expected End Date</t>
  </si>
  <si>
    <t>Original Cost Budget</t>
  </si>
  <si>
    <t>Approved Cost Change Orders</t>
  </si>
  <si>
    <t>Original Contract Revenue</t>
  </si>
  <si>
    <t>Approved Revenue Change Orders</t>
  </si>
  <si>
    <t>Base Estimate to Complete</t>
  </si>
  <si>
    <t>P-101</t>
  </si>
  <si>
    <t>Substation Equipment Replacement</t>
  </si>
  <si>
    <t>Utility</t>
  </si>
  <si>
    <t>Maya Chen</t>
  </si>
  <si>
    <t>Regina, SK</t>
  </si>
  <si>
    <t>In Progress</t>
  </si>
  <si>
    <t>P-102</t>
  </si>
  <si>
    <t>Natural Gas Pipeline Inspection</t>
  </si>
  <si>
    <t>Oil &amp; Gas</t>
  </si>
  <si>
    <t>Daniel Brooks</t>
  </si>
  <si>
    <t>Calgary, AB</t>
  </si>
  <si>
    <t>P-103</t>
  </si>
  <si>
    <t>Rural Power-Line Upgrade</t>
  </si>
  <si>
    <t>Priya Shah</t>
  </si>
  <si>
    <t>Moose Jaw, SK</t>
  </si>
  <si>
    <t>Delayed</t>
  </si>
  <si>
    <t>P-104</t>
  </si>
  <si>
    <t>Compressor Station Maintenance</t>
  </si>
  <si>
    <t>Ethan Cole</t>
  </si>
  <si>
    <t>Edmonton, AB</t>
  </si>
  <si>
    <t>P-105</t>
  </si>
  <si>
    <t>Fleet Garage Construction</t>
  </si>
  <si>
    <t>Construction</t>
  </si>
  <si>
    <t>Sophia Martin</t>
  </si>
  <si>
    <t>Transactions</t>
  </si>
  <si>
    <t>Fictional invoice, accrual, commitment, billing and cash receipt records through 31-Aug-26</t>
  </si>
  <si>
    <t>Transaction ID</t>
  </si>
  <si>
    <t>Transaction Date</t>
  </si>
  <si>
    <t>Transaction Type</t>
  </si>
  <si>
    <t>Cost Category</t>
  </si>
  <si>
    <t>Counterparty</t>
  </si>
  <si>
    <t>Amount</t>
  </si>
  <si>
    <t>TX-0001</t>
  </si>
  <si>
    <t>Vendor Invoice</t>
  </si>
  <si>
    <t>Materials</t>
  </si>
  <si>
    <t>Prairie Steel Ltd.</t>
  </si>
  <si>
    <t>Approved</t>
  </si>
  <si>
    <t>TX-0002</t>
  </si>
  <si>
    <t>Electrical</t>
  </si>
  <si>
    <t>Western Electrical Services</t>
  </si>
  <si>
    <t>TX-0003</t>
  </si>
  <si>
    <t>Civil</t>
  </si>
  <si>
    <t>Northern Civil Works</t>
  </si>
  <si>
    <t>TX-0004</t>
  </si>
  <si>
    <t>Equipment</t>
  </si>
  <si>
    <t>Summit Equipment Rentals</t>
  </si>
  <si>
    <t>TX-0005</t>
  </si>
  <si>
    <t>Engineering</t>
  </si>
  <si>
    <t>Frontier Engineering Group</t>
  </si>
  <si>
    <t>TX-0006</t>
  </si>
  <si>
    <t>Accrual</t>
  </si>
  <si>
    <t>Month-end Accrual</t>
  </si>
  <si>
    <t>Recorded</t>
  </si>
  <si>
    <t>TX-0007</t>
  </si>
  <si>
    <t>Commitment</t>
  </si>
  <si>
    <t>Open Purchase Order</t>
  </si>
  <si>
    <t>Open</t>
  </si>
  <si>
    <t>TX-0008</t>
  </si>
  <si>
    <t>Client Billing</t>
  </si>
  <si>
    <t>Progress Billing</t>
  </si>
  <si>
    <t>Prairie Energy Client</t>
  </si>
  <si>
    <t>Issued</t>
  </si>
  <si>
    <t>TX-0009</t>
  </si>
  <si>
    <t>TX-0010</t>
  </si>
  <si>
    <t>Cash Receipt</t>
  </si>
  <si>
    <t>Customer Collection</t>
  </si>
  <si>
    <t>Received</t>
  </si>
  <si>
    <t>TX-0011</t>
  </si>
  <si>
    <t>TX-0012</t>
  </si>
  <si>
    <t>TX-0013</t>
  </si>
  <si>
    <t>TX-0014</t>
  </si>
  <si>
    <t>TX-0015</t>
  </si>
  <si>
    <t>TX-0016</t>
  </si>
  <si>
    <t>TX-0017</t>
  </si>
  <si>
    <t>TX-0018</t>
  </si>
  <si>
    <t>TX-0019</t>
  </si>
  <si>
    <t>TX-0020</t>
  </si>
  <si>
    <t>TX-0021</t>
  </si>
  <si>
    <t>TX-0022</t>
  </si>
  <si>
    <t>TX-0023</t>
  </si>
  <si>
    <t>TX-0024</t>
  </si>
  <si>
    <t>TX-0025</t>
  </si>
  <si>
    <t>TX-0026</t>
  </si>
  <si>
    <t>TX-0027</t>
  </si>
  <si>
    <t>TX-0028</t>
  </si>
  <si>
    <t>TX-0029</t>
  </si>
  <si>
    <t>TX-0030</t>
  </si>
  <si>
    <t>TX-0031</t>
  </si>
  <si>
    <t>TX-0032</t>
  </si>
  <si>
    <t>TX-0033</t>
  </si>
  <si>
    <t>TX-0034</t>
  </si>
  <si>
    <t>TX-0035</t>
  </si>
  <si>
    <t>TX-0036</t>
  </si>
  <si>
    <t>TX-0037</t>
  </si>
  <si>
    <t>TX-0038</t>
  </si>
  <si>
    <t>TX-0039</t>
  </si>
  <si>
    <t>TX-0040</t>
  </si>
  <si>
    <t>TX-0041</t>
  </si>
  <si>
    <t>TX-0042</t>
  </si>
  <si>
    <t>TX-0043</t>
  </si>
  <si>
    <t>TX-0044</t>
  </si>
  <si>
    <t>TX-0045</t>
  </si>
  <si>
    <t>TX-0046</t>
  </si>
  <si>
    <t>TX-0047</t>
  </si>
  <si>
    <t>TX-0048</t>
  </si>
  <si>
    <t>TX-0049</t>
  </si>
  <si>
    <t>TX-0050</t>
  </si>
  <si>
    <t>TX-0051</t>
  </si>
  <si>
    <t>TX-0052</t>
  </si>
  <si>
    <t>TX-0053</t>
  </si>
  <si>
    <t>TX-0054</t>
  </si>
  <si>
    <t>TX-0055</t>
  </si>
  <si>
    <t>Model Checks</t>
  </si>
  <si>
    <t>Control totals and roll-forward checks. Differences should equal 0.00.</t>
  </si>
  <si>
    <t>Check</t>
  </si>
  <si>
    <t>Model Total</t>
  </si>
  <si>
    <t>Independent Total</t>
  </si>
  <si>
    <t>Difference</t>
  </si>
  <si>
    <t>Actual project costs</t>
  </si>
  <si>
    <t>Client billings</t>
  </si>
  <si>
    <t>Cash collected</t>
  </si>
  <si>
    <t>Cash roll-forward</t>
  </si>
  <si>
    <t>Model Guide</t>
  </si>
  <si>
    <t>Portfolio workbook for construction, utility and energy finance roles</t>
  </si>
  <si>
    <t>Section</t>
  </si>
  <si>
    <t>Details</t>
  </si>
  <si>
    <t>Company</t>
  </si>
  <si>
    <t>Prairie Field Services Ltd. is a fictional contractor serving utility and energy clients.</t>
  </si>
  <si>
    <t>Purpose</t>
  </si>
  <si>
    <t>Demonstrate project accounting, financial modelling, cash forecasting, billing, receivables and management reporting.</t>
  </si>
  <si>
    <t>Data policy</t>
  </si>
  <si>
    <t>All names, transactions, amounts and assumptions are fictional. No current or former employer information is included.</t>
  </si>
  <si>
    <t>How to use</t>
  </si>
  <si>
    <t>Choose case 1, 2 or 3 on Assumptions. Update yellow cells with blue text. Review Dashboard, Financial Model and Cash Forecast.</t>
  </si>
  <si>
    <t>Best case</t>
  </si>
  <si>
    <t>Lower remaining project costs, stronger customer receipts and lower vendor and overhead payments.</t>
  </si>
  <si>
    <t>Base case</t>
  </si>
  <si>
    <t>Current estimate and payment assumptions.</t>
  </si>
  <si>
    <t>Worst case</t>
  </si>
  <si>
    <t>Higher remaining project costs, slower customer receipts and higher vendor and overhead payments.</t>
  </si>
  <si>
    <t>Key outputs</t>
  </si>
  <si>
    <t>Estimate at completion, cost variance, projected gross profit, gross margin, outstanding receivables and 13-week ending cash.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</si>
</sst>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-mmm\-yy"/>
    <numFmt numFmtId="165" formatCode="\$#,##0;\(\$#,##0\);\-"/>
    <numFmt numFmtId="166" formatCode="0.0%;\(0.0%\);\-"/>
    <numFmt numFmtId="167" formatCode="&quot;Week of &quot;d\-mmm"/>
    <numFmt numFmtId="168" formatCode="\$0.0,,&quot;M&quot;;\(\$0.0,,&quot;M&quot;\);\-"/>
    <numFmt numFmtId="169" formatCode="\$#,##0.00;\(\$#,##0.00\);\$0.00"/>
  </numFmts>
  <fonts count="15">
    <font>
      <sz val="11"/>
      <name val="Carlito"/>
    </font>
    <font>
      <sz val="10"/>
      <color rgb="FF1F2937"/>
      <name val="Arial"/>
      <family val="2"/>
    </font>
    <font>
      <b/>
      <sz val="16"/>
      <color rgb="FF17365D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b/>
      <sz val="10"/>
      <color rgb="FF1F2937"/>
      <name val="Arial"/>
      <family val="2"/>
    </font>
    <font>
      <b/>
      <sz val="11"/>
      <color rgb="FF0000FF"/>
      <name val="Arial"/>
      <family val="2"/>
    </font>
    <font>
      <b/>
      <sz val="11"/>
      <color rgb="FF006100"/>
      <name val="Arial"/>
      <family val="2"/>
    </font>
    <font>
      <b/>
      <sz val="10"/>
      <color rgb="FF17365D"/>
      <name val="Arial"/>
      <family val="2"/>
    </font>
    <font>
      <b/>
      <sz val="11"/>
      <color rgb="FF17365D"/>
      <name val="Arial"/>
      <family val="2"/>
    </font>
    <font>
      <b/>
      <sz val="10"/>
      <color rgb="FF006100"/>
      <name val="Arial"/>
      <family val="2"/>
    </font>
    <font>
      <sz val="10"/>
      <color rgb="FF008000"/>
      <name val="Arial"/>
      <family val="2"/>
    </font>
    <font>
      <b/>
      <sz val="9"/>
      <color rgb="FF6B7280"/>
      <name val="Arial"/>
      <family val="2"/>
    </font>
    <font>
      <b/>
      <sz val="14"/>
      <color rgb="FF17365D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AF3F8"/>
      </patternFill>
    </fill>
    <fill>
      <patternFill patternType="solid">
        <fgColor rgb="FFF3F4F6"/>
      </patternFill>
    </fill>
  </fills>
  <borders count="14">
    <border>
      <left/>
      <right/>
      <top/>
      <bottom/>
      <diagonal/>
    </border>
    <border>
      <left/>
      <right/>
      <top/>
      <bottom style="thin">
        <color rgb="FF5B9BD5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/>
      <right/>
      <top/>
      <bottom style="thin">
        <color rgb="FFE5E7EB"/>
      </bottom>
      <diagonal/>
    </border>
    <border>
      <left/>
      <right style="thin">
        <color rgb="FFFFFFFF"/>
      </right>
      <top/>
      <bottom style="thin">
        <color rgb="FFE5E7EB"/>
      </bottom>
      <diagonal/>
    </border>
    <border>
      <left style="dashed">
        <color rgb="FF9C6500"/>
      </left>
      <right style="dashed">
        <color rgb="FF9C6500"/>
      </right>
      <top style="dashed">
        <color rgb="FF9C6500"/>
      </top>
      <bottom style="dashed">
        <color rgb="FF9C6500"/>
      </bottom>
      <diagonal/>
    </border>
    <border>
      <left style="dashed">
        <color rgb="FF5B9BD5"/>
      </left>
      <right style="dashed">
        <color rgb="FF5B9BD5"/>
      </right>
      <top style="dashed">
        <color rgb="FF5B9BD5"/>
      </top>
      <bottom style="dashed">
        <color rgb="FF5B9BD5"/>
      </bottom>
      <diagonal/>
    </border>
    <border>
      <left/>
      <right/>
      <top style="double">
        <color rgb="FF17365D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65" fontId="5" fillId="0" borderId="5" xfId="0" applyNumberFormat="1" applyFont="1" applyBorder="1" applyAlignment="1">
      <alignment vertical="center"/>
    </xf>
    <xf numFmtId="0" fontId="5" fillId="0" borderId="6" xfId="0" applyFont="1" applyBorder="1" applyAlignment="1">
      <alignment vertical="center"/>
    </xf>
    <xf numFmtId="164" fontId="5" fillId="0" borderId="6" xfId="0" applyNumberFormat="1" applyFont="1" applyBorder="1" applyAlignment="1">
      <alignment vertical="center"/>
    </xf>
    <xf numFmtId="165" fontId="5" fillId="0" borderId="6" xfId="0" applyNumberFormat="1" applyFont="1" applyBorder="1" applyAlignment="1">
      <alignment vertical="center"/>
    </xf>
    <xf numFmtId="166" fontId="5" fillId="0" borderId="6" xfId="0" applyNumberFormat="1" applyFont="1" applyBorder="1" applyAlignment="1">
      <alignment vertical="center"/>
    </xf>
    <xf numFmtId="165" fontId="5" fillId="0" borderId="7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3" borderId="8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65" fontId="5" fillId="3" borderId="0" xfId="0" applyNumberFormat="1" applyFont="1" applyFill="1" applyAlignment="1">
      <alignment vertical="center"/>
    </xf>
    <xf numFmtId="0" fontId="9" fillId="0" borderId="0" xfId="0" applyFont="1" applyAlignment="1">
      <alignment vertical="center"/>
    </xf>
    <xf numFmtId="0" fontId="10" fillId="4" borderId="1" xfId="0" applyFont="1" applyFill="1" applyBorder="1" applyAlignment="1">
      <alignment vertical="center"/>
    </xf>
    <xf numFmtId="166" fontId="6" fillId="4" borderId="1" xfId="0" applyNumberFormat="1" applyFont="1" applyFill="1" applyBorder="1" applyAlignment="1">
      <alignment vertical="center"/>
    </xf>
    <xf numFmtId="166" fontId="1" fillId="0" borderId="0" xfId="0" applyNumberFormat="1" applyFont="1" applyAlignment="1">
      <alignment vertical="center"/>
    </xf>
    <xf numFmtId="166" fontId="5" fillId="3" borderId="0" xfId="0" applyNumberFormat="1" applyFont="1" applyFill="1" applyAlignment="1">
      <alignment vertical="center"/>
    </xf>
    <xf numFmtId="164" fontId="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vertical="center"/>
    </xf>
    <xf numFmtId="0" fontId="6" fillId="5" borderId="10" xfId="0" applyFont="1" applyFill="1" applyBorder="1" applyAlignment="1">
      <alignment vertical="center"/>
    </xf>
    <xf numFmtId="165" fontId="12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65" fontId="6" fillId="5" borderId="10" xfId="0" applyNumberFormat="1" applyFont="1" applyFill="1" applyBorder="1" applyAlignment="1">
      <alignment vertical="center"/>
    </xf>
    <xf numFmtId="166" fontId="6" fillId="5" borderId="10" xfId="0" applyNumberFormat="1" applyFont="1" applyFill="1" applyBorder="1" applyAlignment="1">
      <alignment vertical="center"/>
    </xf>
    <xf numFmtId="166" fontId="12" fillId="0" borderId="0" xfId="0" applyNumberFormat="1" applyFont="1" applyAlignment="1">
      <alignment vertical="center"/>
    </xf>
    <xf numFmtId="167" fontId="4" fillId="2" borderId="3" xfId="0" applyNumberFormat="1" applyFont="1" applyFill="1" applyBorder="1" applyAlignment="1">
      <alignment horizontal="center" vertical="center" wrapText="1"/>
    </xf>
    <xf numFmtId="167" fontId="4" fillId="2" borderId="4" xfId="0" applyNumberFormat="1" applyFont="1" applyFill="1" applyBorder="1" applyAlignment="1">
      <alignment horizontal="center" vertical="center" wrapText="1"/>
    </xf>
    <xf numFmtId="165" fontId="12" fillId="3" borderId="0" xfId="0" applyNumberFormat="1" applyFont="1" applyFill="1" applyAlignment="1">
      <alignment vertical="center"/>
    </xf>
    <xf numFmtId="165" fontId="6" fillId="0" borderId="0" xfId="0" applyNumberFormat="1" applyFont="1" applyAlignment="1">
      <alignment vertical="center"/>
    </xf>
    <xf numFmtId="0" fontId="6" fillId="0" borderId="10" xfId="0" applyFont="1" applyBorder="1" applyAlignment="1">
      <alignment vertical="center"/>
    </xf>
    <xf numFmtId="165" fontId="6" fillId="0" borderId="10" xfId="0" applyNumberFormat="1" applyFont="1" applyBorder="1" applyAlignment="1">
      <alignment vertical="center"/>
    </xf>
    <xf numFmtId="0" fontId="13" fillId="6" borderId="11" xfId="0" applyFont="1" applyFill="1" applyBorder="1" applyAlignment="1">
      <alignment horizontal="center" vertical="center"/>
    </xf>
    <xf numFmtId="168" fontId="14" fillId="6" borderId="12" xfId="0" applyNumberFormat="1" applyFont="1" applyFill="1" applyBorder="1" applyAlignment="1">
      <alignment horizontal="center" vertical="center"/>
    </xf>
    <xf numFmtId="166" fontId="14" fillId="6" borderId="12" xfId="0" applyNumberFormat="1" applyFont="1" applyFill="1" applyBorder="1" applyAlignment="1">
      <alignment horizontal="center" vertical="center"/>
    </xf>
    <xf numFmtId="167" fontId="1" fillId="0" borderId="0" xfId="0" applyNumberFormat="1" applyFont="1" applyAlignment="1">
      <alignment vertical="center"/>
    </xf>
    <xf numFmtId="0" fontId="4" fillId="2" borderId="13" xfId="0" applyFont="1" applyFill="1" applyBorder="1" applyAlignment="1">
      <alignment horizontal="center" vertical="center" wrapText="1"/>
    </xf>
    <xf numFmtId="169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9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 wrapText="1"/>
    </xf>
  </cellXfs>
  <cellStyles count="1">
    <cellStyle name="Normal" xfId="0" builtinId="0"/>
  </cellStyles>
  <dxfs count="14"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8E6"/>
        </patternFill>
      </fill>
    </dxf>
    <dxf>
      <font>
        <b/>
        <color rgb="FFC00000"/>
      </font>
      <fill>
        <patternFill patternType="solid">
          <bgColor rgb="FFFCE8E6"/>
        </patternFill>
      </fill>
    </dxf>
    <dxf>
      <font>
        <b/>
        <color rgb="FFC00000"/>
      </font>
      <fill>
        <patternFill patternType="solid">
          <bgColor rgb="FFFCE8E6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8E6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8E6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8E6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CA" sz="900">
                <a:latin typeface="Arial"/>
                <a:ea typeface="Arial"/>
                <a:cs typeface="Arial"/>
              </a:rPr>
              <a:t>Budget and Forecast Cost by Project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Revised Budget</c:v>
          </c:tx>
          <c:spPr>
            <a:solidFill>
              <a:srgbClr val="5B9BD5"/>
            </a:solidFill>
          </c:spPr>
          <c:invertIfNegative val="1"/>
          <c:cat>
            <c:strRef>
              <c:f>Dashboard!$A$10:$A$14</c:f>
              <c:strCache>
                <c:ptCount val="5"/>
                <c:pt idx="0">
                  <c:v>Substation Equipment Replacement</c:v>
                </c:pt>
                <c:pt idx="1">
                  <c:v>Natural Gas Pipeline Inspection</c:v>
                </c:pt>
                <c:pt idx="2">
                  <c:v>Rural Power-Line Upgrade</c:v>
                </c:pt>
                <c:pt idx="3">
                  <c:v>Compressor Station Maintenance</c:v>
                </c:pt>
                <c:pt idx="4">
                  <c:v>Fleet Garage Construction</c:v>
                </c:pt>
              </c:strCache>
            </c:strRef>
          </c:cat>
          <c:val>
            <c:numRef>
              <c:f>Dashboard!$C$10:$C$14</c:f>
              <c:numCache>
                <c:formatCode>\$#,##0;\(\$#,##0\);\-</c:formatCode>
                <c:ptCount val="5"/>
                <c:pt idx="0">
                  <c:v>1620000</c:v>
                </c:pt>
                <c:pt idx="1">
                  <c:v>1180000</c:v>
                </c:pt>
                <c:pt idx="2">
                  <c:v>2010000</c:v>
                </c:pt>
                <c:pt idx="3">
                  <c:v>990000</c:v>
                </c:pt>
                <c:pt idx="4">
                  <c:v>1425000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7C96-3D4F-BA39-AD770115ABC7}"/>
            </c:ext>
          </c:extLst>
        </c:ser>
        <c:ser>
          <c:idx val="1"/>
          <c:order val="1"/>
          <c:tx>
            <c:v>EAC</c:v>
          </c:tx>
          <c:spPr>
            <a:solidFill>
              <a:srgbClr val="17365D"/>
            </a:solidFill>
          </c:spPr>
          <c:invertIfNegative val="1"/>
          <c:cat>
            <c:strRef>
              <c:f>Dashboard!$A$10:$A$14</c:f>
              <c:strCache>
                <c:ptCount val="5"/>
                <c:pt idx="0">
                  <c:v>Substation Equipment Replacement</c:v>
                </c:pt>
                <c:pt idx="1">
                  <c:v>Natural Gas Pipeline Inspection</c:v>
                </c:pt>
                <c:pt idx="2">
                  <c:v>Rural Power-Line Upgrade</c:v>
                </c:pt>
                <c:pt idx="3">
                  <c:v>Compressor Station Maintenance</c:v>
                </c:pt>
                <c:pt idx="4">
                  <c:v>Fleet Garage Construction</c:v>
                </c:pt>
              </c:strCache>
            </c:strRef>
          </c:cat>
          <c:val>
            <c:numRef>
              <c:f>Dashboard!$D$10:$D$14</c:f>
              <c:numCache>
                <c:formatCode>\$#,##0;\(\$#,##0\);\-</c:formatCode>
                <c:ptCount val="5"/>
                <c:pt idx="0">
                  <c:v>1675000</c:v>
                </c:pt>
                <c:pt idx="1">
                  <c:v>1150000</c:v>
                </c:pt>
                <c:pt idx="2">
                  <c:v>2130000</c:v>
                </c:pt>
                <c:pt idx="3">
                  <c:v>975000</c:v>
                </c:pt>
                <c:pt idx="4">
                  <c:v>1460000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7C96-3D4F-BA39-AD770115A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,,&quot;M&quot;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CA" sz="900">
                <a:latin typeface="Arial"/>
                <a:ea typeface="Arial"/>
                <a:cs typeface="Arial"/>
              </a:rPr>
              <a:t>13-Week Ending Cash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Ending Cash</c:v>
          </c:tx>
          <c:spPr>
            <a:ln w="19050">
              <a:solidFill>
                <a:srgbClr val="1F4E78"/>
              </a:solidFill>
              <a:prstDash val="solid"/>
            </a:ln>
          </c:spPr>
          <c:marker>
            <c:symbol val="none"/>
          </c:marker>
          <c:cat>
            <c:strRef>
              <c:f>Dashboard!$V$19:$V$31</c:f>
              <c:strCache>
                <c:ptCount val="13"/>
                <c:pt idx="0">
                  <c:v>7-Sep</c:v>
                </c:pt>
                <c:pt idx="1">
                  <c:v>14-Sep</c:v>
                </c:pt>
                <c:pt idx="2">
                  <c:v>21-Sep</c:v>
                </c:pt>
                <c:pt idx="3">
                  <c:v>28-Sep</c:v>
                </c:pt>
                <c:pt idx="4">
                  <c:v>5-Oct</c:v>
                </c:pt>
                <c:pt idx="5">
                  <c:v>12-Oct</c:v>
                </c:pt>
                <c:pt idx="6">
                  <c:v>19-Oct</c:v>
                </c:pt>
                <c:pt idx="7">
                  <c:v>26-Oct</c:v>
                </c:pt>
                <c:pt idx="8">
                  <c:v>2-Nov</c:v>
                </c:pt>
                <c:pt idx="9">
                  <c:v>9-Nov</c:v>
                </c:pt>
                <c:pt idx="10">
                  <c:v>16-Nov</c:v>
                </c:pt>
                <c:pt idx="11">
                  <c:v>23-Nov</c:v>
                </c:pt>
                <c:pt idx="12">
                  <c:v>30-Nov</c:v>
                </c:pt>
              </c:strCache>
            </c:strRef>
          </c:cat>
          <c:val>
            <c:numRef>
              <c:f>Dashboard!$W$19:$W$31</c:f>
              <c:numCache>
                <c:formatCode>General</c:formatCode>
                <c:ptCount val="13"/>
                <c:pt idx="0">
                  <c:v>1140000</c:v>
                </c:pt>
                <c:pt idx="1">
                  <c:v>1100000</c:v>
                </c:pt>
                <c:pt idx="2">
                  <c:v>1025000</c:v>
                </c:pt>
                <c:pt idx="3">
                  <c:v>920000</c:v>
                </c:pt>
                <c:pt idx="4">
                  <c:v>805000</c:v>
                </c:pt>
                <c:pt idx="5">
                  <c:v>745000</c:v>
                </c:pt>
                <c:pt idx="6">
                  <c:v>675000</c:v>
                </c:pt>
                <c:pt idx="7">
                  <c:v>580000</c:v>
                </c:pt>
                <c:pt idx="8">
                  <c:v>465000</c:v>
                </c:pt>
                <c:pt idx="9">
                  <c:v>375000</c:v>
                </c:pt>
                <c:pt idx="10">
                  <c:v>265000</c:v>
                </c:pt>
                <c:pt idx="11">
                  <c:v>180000</c:v>
                </c:pt>
                <c:pt idx="12">
                  <c:v>105000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9F-8641-BBCD-5649AE48B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,,&quot;M&quot;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8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22</xdr:row>
      <xdr:rowOff>0</xdr:rowOff>
    </xdr:from>
    <xdr:to>
      <xdr:col>20</xdr:col>
      <xdr:colOff>0</xdr:colOff>
      <xdr:row>35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MasterTable" displayName="ProjectMasterTable" ref="A5:N10" totalsRowShown="0">
  <tableColumns count="14">
    <tableColumn id="1" xr3:uid="{00000000-0010-0000-0000-000001000000}" name="Project ID"/>
    <tableColumn id="2" xr3:uid="{00000000-0010-0000-0000-000002000000}" name="Project Name"/>
    <tableColumn id="3" xr3:uid="{00000000-0010-0000-0000-000003000000}" name="Industry"/>
    <tableColumn id="4" xr3:uid="{00000000-0010-0000-0000-000004000000}" name="Project Manager"/>
    <tableColumn id="5" xr3:uid="{00000000-0010-0000-0000-000005000000}" name="Location"/>
    <tableColumn id="6" xr3:uid="{00000000-0010-0000-0000-000006000000}" name="Start Date"/>
    <tableColumn id="7" xr3:uid="{00000000-0010-0000-0000-000007000000}" name="Expected End Date"/>
    <tableColumn id="8" xr3:uid="{00000000-0010-0000-0000-000008000000}" name="Original Cost Budget"/>
    <tableColumn id="9" xr3:uid="{00000000-0010-0000-0000-000009000000}" name="Approved Cost Change Orders"/>
    <tableColumn id="10" xr3:uid="{00000000-0010-0000-0000-00000A000000}" name="Original Contract Revenue"/>
    <tableColumn id="11" xr3:uid="{00000000-0010-0000-0000-00000B000000}" name="Approved Revenue Change Orders"/>
    <tableColumn id="12" xr3:uid="{00000000-0010-0000-0000-00000C000000}" name="Completion %"/>
    <tableColumn id="13" xr3:uid="{00000000-0010-0000-0000-00000D000000}" name="Project Status"/>
    <tableColumn id="14" xr3:uid="{00000000-0010-0000-0000-00000E000000}" name="Base Estimate to Comple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ransactionsTable" displayName="TransactionsTable" ref="A5:H60" totalsRowShown="0">
  <tableColumns count="8">
    <tableColumn id="1" xr3:uid="{00000000-0010-0000-0100-000001000000}" name="Transaction ID"/>
    <tableColumn id="2" xr3:uid="{00000000-0010-0000-0100-000002000000}" name="Transaction Date"/>
    <tableColumn id="3" xr3:uid="{00000000-0010-0000-0100-000003000000}" name="Project ID"/>
    <tableColumn id="4" xr3:uid="{00000000-0010-0000-0100-000004000000}" name="Transaction Type"/>
    <tableColumn id="5" xr3:uid="{00000000-0010-0000-0100-000005000000}" name="Cost Category"/>
    <tableColumn id="6" xr3:uid="{00000000-0010-0000-0100-000006000000}" name="Counterparty"/>
    <tableColumn id="7" xr3:uid="{00000000-0010-0000-0100-000007000000}" name="Status"/>
    <tableColumn id="8" xr3:uid="{00000000-0010-0000-0100-000008000000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Z100"/>
  <sheetViews>
    <sheetView showGridLines="0" topLeftCell="D1" zoomScale="118" zoomScaleNormal="118" workbookViewId="0">
      <selection activeCell="B19" sqref="B19"/>
    </sheetView>
  </sheetViews>
  <sheetFormatPr baseColWidth="10" defaultColWidth="8.83203125" defaultRowHeight="14"/>
  <cols>
    <col min="1" max="1" width="34" customWidth="1"/>
    <col min="2" max="2" width="16" customWidth="1"/>
    <col min="3" max="9" width="15" customWidth="1"/>
    <col min="10" max="10" width="22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1"/>
      <c r="V4" s="1"/>
      <c r="W4" s="1"/>
      <c r="X4" s="1"/>
      <c r="Y4" s="1"/>
      <c r="Z4" s="1"/>
    </row>
    <row r="5" spans="1:26">
      <c r="A5" s="18" t="s">
        <v>2</v>
      </c>
      <c r="B5" s="20" t="str">
        <f>Assumptions!B7</f>
        <v>Base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43" t="s">
        <v>3</v>
      </c>
      <c r="B6" s="1"/>
      <c r="C6" s="43" t="s">
        <v>4</v>
      </c>
      <c r="D6" s="1"/>
      <c r="E6" s="43" t="s">
        <v>5</v>
      </c>
      <c r="F6" s="1"/>
      <c r="G6" s="43" t="s">
        <v>6</v>
      </c>
      <c r="H6" s="1"/>
      <c r="I6" s="43" t="s">
        <v>7</v>
      </c>
      <c r="J6" s="1"/>
      <c r="K6" s="43" t="s">
        <v>8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>
      <c r="A7" s="44">
        <f>'Financial Model'!D14</f>
        <v>7225000</v>
      </c>
      <c r="B7" s="1"/>
      <c r="C7" s="44">
        <f>'Financial Model'!H14</f>
        <v>7390000</v>
      </c>
      <c r="D7" s="1"/>
      <c r="E7" s="44">
        <f>'Financial Model'!I14</f>
        <v>-165000</v>
      </c>
      <c r="F7" s="1"/>
      <c r="G7" s="44">
        <f>'Financial Model'!K14</f>
        <v>2015000</v>
      </c>
      <c r="H7" s="1"/>
      <c r="I7" s="45">
        <f>'Financial Model'!L14</f>
        <v>0.21424774056353005</v>
      </c>
      <c r="J7" s="1"/>
      <c r="K7" s="44">
        <f>'Cash Forecast'!O17</f>
        <v>105000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8">
      <c r="A9" s="5" t="s">
        <v>9</v>
      </c>
      <c r="B9" s="6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6" t="s">
        <v>15</v>
      </c>
      <c r="H9" s="6" t="s">
        <v>16</v>
      </c>
      <c r="I9" s="6" t="s">
        <v>17</v>
      </c>
      <c r="J9" s="7" t="s">
        <v>18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tr">
        <f>'Financial Model'!B9</f>
        <v>Substation Equipment Replacement</v>
      </c>
      <c r="B10" s="1" t="str">
        <f>'Financial Model'!S9</f>
        <v>In Progress</v>
      </c>
      <c r="C10" s="33">
        <f>'Financial Model'!D9</f>
        <v>1620000</v>
      </c>
      <c r="D10" s="33">
        <f>'Financial Model'!H9</f>
        <v>1675000</v>
      </c>
      <c r="E10" s="33">
        <f>'Financial Model'!I9</f>
        <v>-55000</v>
      </c>
      <c r="F10" s="33">
        <f>'Financial Model'!J9</f>
        <v>2105000</v>
      </c>
      <c r="G10" s="33">
        <f>'Financial Model'!K9</f>
        <v>430000</v>
      </c>
      <c r="H10" s="25">
        <f>'Financial Model'!L9</f>
        <v>0.20427553444180521</v>
      </c>
      <c r="I10" s="33">
        <f>'Financial Model'!O9</f>
        <v>250000</v>
      </c>
      <c r="J10" s="1" t="str">
        <f>'Financial Model'!T9</f>
        <v>Cost overrun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 t="str">
        <f>'Financial Model'!B10</f>
        <v>Natural Gas Pipeline Inspection</v>
      </c>
      <c r="B11" s="1" t="str">
        <f>'Financial Model'!S10</f>
        <v>In Progress</v>
      </c>
      <c r="C11" s="33">
        <f>'Financial Model'!D10</f>
        <v>1180000</v>
      </c>
      <c r="D11" s="33">
        <f>'Financial Model'!H10</f>
        <v>1150000</v>
      </c>
      <c r="E11" s="33">
        <f>'Financial Model'!I10</f>
        <v>30000</v>
      </c>
      <c r="F11" s="33">
        <f>'Financial Model'!J10</f>
        <v>1545000</v>
      </c>
      <c r="G11" s="33">
        <f>'Financial Model'!K10</f>
        <v>395000</v>
      </c>
      <c r="H11" s="25">
        <f>'Financial Model'!L10</f>
        <v>0.25566343042071199</v>
      </c>
      <c r="I11" s="33">
        <f>'Financial Model'!O10</f>
        <v>190000</v>
      </c>
      <c r="J11" s="1" t="str">
        <f>'Financial Model'!T10</f>
        <v>On track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 t="str">
        <f>'Financial Model'!B11</f>
        <v>Rural Power-Line Upgrade</v>
      </c>
      <c r="B12" s="1" t="str">
        <f>'Financial Model'!S11</f>
        <v>Delayed</v>
      </c>
      <c r="C12" s="33">
        <f>'Financial Model'!D11</f>
        <v>2010000</v>
      </c>
      <c r="D12" s="33">
        <f>'Financial Model'!H11</f>
        <v>2130000</v>
      </c>
      <c r="E12" s="33">
        <f>'Financial Model'!I11</f>
        <v>-120000</v>
      </c>
      <c r="F12" s="33">
        <f>'Financial Model'!J11</f>
        <v>2610000</v>
      </c>
      <c r="G12" s="33">
        <f>'Financial Model'!K11</f>
        <v>480000</v>
      </c>
      <c r="H12" s="25">
        <f>'Financial Model'!L11</f>
        <v>0.18390804597701149</v>
      </c>
      <c r="I12" s="33">
        <f>'Financial Model'!O11</f>
        <v>220000</v>
      </c>
      <c r="J12" s="1" t="str">
        <f>'Financial Model'!T11</f>
        <v>Cost overrun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 t="str">
        <f>'Financial Model'!B12</f>
        <v>Compressor Station Maintenance</v>
      </c>
      <c r="B13" s="1" t="str">
        <f>'Financial Model'!S12</f>
        <v>In Progress</v>
      </c>
      <c r="C13" s="33">
        <f>'Financial Model'!D12</f>
        <v>990000</v>
      </c>
      <c r="D13" s="33">
        <f>'Financial Model'!H12</f>
        <v>975000</v>
      </c>
      <c r="E13" s="33">
        <f>'Financial Model'!I12</f>
        <v>15000</v>
      </c>
      <c r="F13" s="33">
        <f>'Financial Model'!J12</f>
        <v>1275000</v>
      </c>
      <c r="G13" s="33">
        <f>'Financial Model'!K12</f>
        <v>300000</v>
      </c>
      <c r="H13" s="25">
        <f>'Financial Model'!L12</f>
        <v>0.23529411764705882</v>
      </c>
      <c r="I13" s="33">
        <f>'Financial Model'!O12</f>
        <v>120000</v>
      </c>
      <c r="J13" s="1" t="str">
        <f>'Financial Model'!T12</f>
        <v>On track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 t="str">
        <f>'Financial Model'!B13</f>
        <v>Fleet Garage Construction</v>
      </c>
      <c r="B14" s="1" t="str">
        <f>'Financial Model'!S13</f>
        <v>Delayed</v>
      </c>
      <c r="C14" s="33">
        <f>'Financial Model'!D13</f>
        <v>1425000</v>
      </c>
      <c r="D14" s="33">
        <f>'Financial Model'!H13</f>
        <v>1460000</v>
      </c>
      <c r="E14" s="33">
        <f>'Financial Model'!I13</f>
        <v>-35000</v>
      </c>
      <c r="F14" s="33">
        <f>'Financial Model'!J13</f>
        <v>1870000</v>
      </c>
      <c r="G14" s="33">
        <f>'Financial Model'!K13</f>
        <v>410000</v>
      </c>
      <c r="H14" s="25">
        <f>'Financial Model'!L13</f>
        <v>0.21925133689839571</v>
      </c>
      <c r="I14" s="33">
        <f>'Financial Model'!O13</f>
        <v>220000</v>
      </c>
      <c r="J14" s="1" t="str">
        <f>'Financial Model'!T13</f>
        <v>Cost overrun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1" t="s">
        <v>19</v>
      </c>
      <c r="B15" s="31"/>
      <c r="C15" s="34">
        <f>'Financial Model'!D14</f>
        <v>7225000</v>
      </c>
      <c r="D15" s="34">
        <f>'Financial Model'!H14</f>
        <v>7390000</v>
      </c>
      <c r="E15" s="34">
        <f>'Financial Model'!I14</f>
        <v>-165000</v>
      </c>
      <c r="F15" s="34">
        <f>'Financial Model'!J14</f>
        <v>9405000</v>
      </c>
      <c r="G15" s="34">
        <f>'Financial Model'!K14</f>
        <v>2015000</v>
      </c>
      <c r="H15" s="35">
        <f>'Financial Model'!L14</f>
        <v>0.21424774056353005</v>
      </c>
      <c r="I15" s="34">
        <f>'Financial Model'!O14</f>
        <v>1000000</v>
      </c>
      <c r="J15" s="3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5" t="s">
        <v>20</v>
      </c>
      <c r="B18" s="7" t="s">
        <v>21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 t="s">
        <v>20</v>
      </c>
      <c r="W18" s="1" t="s">
        <v>21</v>
      </c>
      <c r="X18" s="1"/>
      <c r="Y18" s="1"/>
      <c r="Z18" s="1"/>
    </row>
    <row r="19" spans="1:26">
      <c r="A19" s="46">
        <f>'Cash Forecast'!C8</f>
        <v>46272</v>
      </c>
      <c r="B19" s="33">
        <f>'Cash Forecast'!C17</f>
        <v>1140000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 t="s">
        <v>22</v>
      </c>
      <c r="W19" s="1">
        <f>'Cash Forecast'!C17</f>
        <v>1140000</v>
      </c>
      <c r="X19" s="1"/>
      <c r="Y19" s="1"/>
      <c r="Z19" s="1"/>
    </row>
    <row r="20" spans="1:26">
      <c r="A20" s="46">
        <f>'Cash Forecast'!D8</f>
        <v>46279</v>
      </c>
      <c r="B20" s="33">
        <f>'Cash Forecast'!D17</f>
        <v>1100000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 t="s">
        <v>23</v>
      </c>
      <c r="W20" s="1">
        <f>'Cash Forecast'!D17</f>
        <v>1100000</v>
      </c>
      <c r="X20" s="1"/>
      <c r="Y20" s="1"/>
      <c r="Z20" s="1"/>
    </row>
    <row r="21" spans="1:26">
      <c r="A21" s="46">
        <f>'Cash Forecast'!E8</f>
        <v>46286</v>
      </c>
      <c r="B21" s="33">
        <f>'Cash Forecast'!E17</f>
        <v>1025000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 t="s">
        <v>24</v>
      </c>
      <c r="W21" s="1">
        <f>'Cash Forecast'!E17</f>
        <v>1025000</v>
      </c>
      <c r="X21" s="1"/>
      <c r="Y21" s="1"/>
      <c r="Z21" s="1"/>
    </row>
    <row r="22" spans="1:26">
      <c r="A22" s="46">
        <f>'Cash Forecast'!F8</f>
        <v>46293</v>
      </c>
      <c r="B22" s="33">
        <f>'Cash Forecast'!F17</f>
        <v>920000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 t="s">
        <v>25</v>
      </c>
      <c r="W22" s="1">
        <f>'Cash Forecast'!F17</f>
        <v>920000</v>
      </c>
      <c r="X22" s="1"/>
      <c r="Y22" s="1"/>
      <c r="Z22" s="1"/>
    </row>
    <row r="23" spans="1:26">
      <c r="A23" s="46">
        <f>'Cash Forecast'!G8</f>
        <v>46300</v>
      </c>
      <c r="B23" s="33">
        <f>'Cash Forecast'!G17</f>
        <v>805000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 t="s">
        <v>26</v>
      </c>
      <c r="W23" s="1">
        <f>'Cash Forecast'!G17</f>
        <v>805000</v>
      </c>
      <c r="X23" s="1"/>
      <c r="Y23" s="1"/>
      <c r="Z23" s="1"/>
    </row>
    <row r="24" spans="1:26">
      <c r="A24" s="46">
        <f>'Cash Forecast'!H8</f>
        <v>46307</v>
      </c>
      <c r="B24" s="33">
        <f>'Cash Forecast'!H17</f>
        <v>745000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 t="s">
        <v>27</v>
      </c>
      <c r="W24" s="1">
        <f>'Cash Forecast'!H17</f>
        <v>745000</v>
      </c>
      <c r="X24" s="1"/>
      <c r="Y24" s="1"/>
      <c r="Z24" s="1"/>
    </row>
    <row r="25" spans="1:26">
      <c r="A25" s="46">
        <f>'Cash Forecast'!I8</f>
        <v>46314</v>
      </c>
      <c r="B25" s="33">
        <f>'Cash Forecast'!I17</f>
        <v>675000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 t="s">
        <v>28</v>
      </c>
      <c r="W25" s="1">
        <f>'Cash Forecast'!I17</f>
        <v>675000</v>
      </c>
      <c r="X25" s="1"/>
      <c r="Y25" s="1"/>
      <c r="Z25" s="1"/>
    </row>
    <row r="26" spans="1:26">
      <c r="A26" s="46">
        <f>'Cash Forecast'!J8</f>
        <v>46321</v>
      </c>
      <c r="B26" s="33">
        <f>'Cash Forecast'!J17</f>
        <v>580000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 t="s">
        <v>29</v>
      </c>
      <c r="W26" s="1">
        <f>'Cash Forecast'!J17</f>
        <v>580000</v>
      </c>
      <c r="X26" s="1"/>
      <c r="Y26" s="1"/>
      <c r="Z26" s="1"/>
    </row>
    <row r="27" spans="1:26">
      <c r="A27" s="46">
        <f>'Cash Forecast'!K8</f>
        <v>46328</v>
      </c>
      <c r="B27" s="33">
        <f>'Cash Forecast'!K17</f>
        <v>465000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 t="s">
        <v>30</v>
      </c>
      <c r="W27" s="1">
        <f>'Cash Forecast'!K17</f>
        <v>465000</v>
      </c>
      <c r="X27" s="1"/>
      <c r="Y27" s="1"/>
      <c r="Z27" s="1"/>
    </row>
    <row r="28" spans="1:26">
      <c r="A28" s="46">
        <f>'Cash Forecast'!L8</f>
        <v>46335</v>
      </c>
      <c r="B28" s="33">
        <f>'Cash Forecast'!L17</f>
        <v>375000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 t="s">
        <v>31</v>
      </c>
      <c r="W28" s="1">
        <f>'Cash Forecast'!L17</f>
        <v>375000</v>
      </c>
      <c r="X28" s="1"/>
      <c r="Y28" s="1"/>
      <c r="Z28" s="1"/>
    </row>
    <row r="29" spans="1:26">
      <c r="A29" s="46">
        <f>'Cash Forecast'!M8</f>
        <v>46342</v>
      </c>
      <c r="B29" s="33">
        <f>'Cash Forecast'!M17</f>
        <v>265000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 t="s">
        <v>32</v>
      </c>
      <c r="W29" s="1">
        <f>'Cash Forecast'!M17</f>
        <v>265000</v>
      </c>
      <c r="X29" s="1"/>
      <c r="Y29" s="1"/>
      <c r="Z29" s="1"/>
    </row>
    <row r="30" spans="1:26">
      <c r="A30" s="46">
        <f>'Cash Forecast'!N8</f>
        <v>46349</v>
      </c>
      <c r="B30" s="33">
        <f>'Cash Forecast'!N17</f>
        <v>180000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 t="s">
        <v>33</v>
      </c>
      <c r="W30" s="1">
        <f>'Cash Forecast'!N17</f>
        <v>180000</v>
      </c>
      <c r="X30" s="1"/>
      <c r="Y30" s="1"/>
      <c r="Z30" s="1"/>
    </row>
    <row r="31" spans="1:26">
      <c r="A31" s="46">
        <f>'Cash Forecast'!O8</f>
        <v>46356</v>
      </c>
      <c r="B31" s="33">
        <f>'Cash Forecast'!O17</f>
        <v>105000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 t="s">
        <v>34</v>
      </c>
      <c r="W31" s="1">
        <f>'Cash Forecast'!O17</f>
        <v>105000</v>
      </c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conditionalFormatting sqref="E10:E14">
    <cfRule type="cellIs" dxfId="13" priority="1" operator="lessThan">
      <formula>0</formula>
    </cfRule>
    <cfRule type="cellIs" dxfId="12" priority="2" operator="greaterThan">
      <formula>0</formula>
    </cfRule>
  </conditionalFormatting>
  <conditionalFormatting sqref="J10:J14">
    <cfRule type="containsText" dxfId="11" priority="3" operator="containsText" text="Cost overrun"/>
    <cfRule type="containsText" dxfId="10" priority="4" operator="containsText" text="Schedule review"/>
    <cfRule type="containsText" dxfId="9" priority="5" operator="containsText" text="On track"/>
  </conditionalFormatting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Z100"/>
  <sheetViews>
    <sheetView showGridLines="0" workbookViewId="0">
      <selection activeCell="B6" sqref="B6"/>
    </sheetView>
  </sheetViews>
  <sheetFormatPr baseColWidth="10" defaultColWidth="8.83203125" defaultRowHeight="14"/>
  <cols>
    <col min="1" max="1" width="34" customWidth="1"/>
    <col min="2" max="2" width="18" customWidth="1"/>
    <col min="3" max="3" width="17" customWidth="1"/>
    <col min="4" max="4" width="9.1640625" customWidth="1"/>
    <col min="5" max="5" width="4.3320312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">
      <c r="A2" s="2" t="s">
        <v>35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3" t="s">
        <v>36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8" t="s">
        <v>37</v>
      </c>
      <c r="B6" s="19">
        <v>2</v>
      </c>
      <c r="C6" s="1"/>
      <c r="D6" s="22" t="s">
        <v>38</v>
      </c>
      <c r="E6" s="2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8" t="s">
        <v>2</v>
      </c>
      <c r="B7" s="20" t="str">
        <f>CHOOSE($B$6,"Best","Base","Worst")</f>
        <v>Base</v>
      </c>
      <c r="C7" s="1"/>
      <c r="D7" s="1" t="s">
        <v>39</v>
      </c>
      <c r="E7" s="1" t="s">
        <v>40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8" t="s">
        <v>41</v>
      </c>
      <c r="B8" s="21">
        <v>1200000</v>
      </c>
      <c r="C8" s="1"/>
      <c r="D8" s="1" t="s">
        <v>42</v>
      </c>
      <c r="E8" s="1" t="s">
        <v>43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 t="s">
        <v>44</v>
      </c>
      <c r="E9" s="1" t="s">
        <v>45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23" t="s">
        <v>46</v>
      </c>
      <c r="B11" s="23" t="s">
        <v>47</v>
      </c>
      <c r="C11" s="24">
        <f>CHOOSE($B$6,C12,C13,C14)</f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 t="s">
        <v>40</v>
      </c>
      <c r="C12" s="26">
        <v>-0.05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 t="s">
        <v>43</v>
      </c>
      <c r="C13" s="26">
        <v>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 t="s">
        <v>45</v>
      </c>
      <c r="C14" s="26">
        <v>0.12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23" t="s">
        <v>48</v>
      </c>
      <c r="B16" s="23" t="s">
        <v>47</v>
      </c>
      <c r="C16" s="24">
        <f>CHOOSE($B$6,C17,C18,C19)</f>
        <v>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 t="s">
        <v>40</v>
      </c>
      <c r="C17" s="26">
        <v>1.05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 t="s">
        <v>43</v>
      </c>
      <c r="C18" s="26">
        <v>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 t="s">
        <v>45</v>
      </c>
      <c r="C19" s="26">
        <v>0.85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23" t="s">
        <v>49</v>
      </c>
      <c r="B21" s="23" t="s">
        <v>47</v>
      </c>
      <c r="C21" s="24">
        <f>CHOOSE($B$6,C22,C23,C24)</f>
        <v>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 t="s">
        <v>40</v>
      </c>
      <c r="C22" s="26">
        <v>0.97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 t="s">
        <v>43</v>
      </c>
      <c r="C23" s="26">
        <v>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 t="s">
        <v>45</v>
      </c>
      <c r="C24" s="26">
        <v>1.08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23" t="s">
        <v>50</v>
      </c>
      <c r="B26" s="23" t="s">
        <v>47</v>
      </c>
      <c r="C26" s="24">
        <f>CHOOSE($B$6,C27,C28,C29)</f>
        <v>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 t="s">
        <v>40</v>
      </c>
      <c r="C27" s="26">
        <v>0.98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 t="s">
        <v>43</v>
      </c>
      <c r="C28" s="26">
        <v>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 t="s">
        <v>45</v>
      </c>
      <c r="C29" s="26">
        <v>1.05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 t="s">
        <v>51</v>
      </c>
      <c r="B31" s="1" t="s">
        <v>52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 t="s">
        <v>53</v>
      </c>
      <c r="B32" s="27">
        <v>46265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dataValidations count="1">
    <dataValidation type="list" sqref="B6" xr:uid="{00000000-0002-0000-0100-000000000000}">
      <formula1>"1,2,3"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showGridLines="0" tabSelected="1" workbookViewId="0">
      <pane xSplit="2" ySplit="8" topLeftCell="G9" activePane="bottomRight" state="frozen"/>
      <selection pane="topRight"/>
      <selection pane="bottomLeft"/>
      <selection pane="bottomRight" activeCell="R9" sqref="R9"/>
    </sheetView>
  </sheetViews>
  <sheetFormatPr baseColWidth="10" defaultColWidth="8.83203125" defaultRowHeight="14"/>
  <cols>
    <col min="1" max="1" width="7.5" customWidth="1"/>
    <col min="2" max="2" width="34" customWidth="1"/>
    <col min="3" max="3" width="8.83203125" customWidth="1"/>
    <col min="4" max="17" width="17" customWidth="1"/>
    <col min="18" max="18" width="10.33203125" customWidth="1"/>
    <col min="19" max="19" width="10.5" customWidth="1"/>
    <col min="20" max="20" width="22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">
      <c r="A2" s="2" t="s">
        <v>54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3" t="s">
        <v>55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1"/>
      <c r="V4" s="1"/>
      <c r="W4" s="1"/>
      <c r="X4" s="1"/>
      <c r="Y4" s="1"/>
      <c r="Z4" s="1"/>
    </row>
    <row r="5" spans="1:26">
      <c r="A5" s="1" t="s">
        <v>2</v>
      </c>
      <c r="B5" s="28" t="str">
        <f>Assumptions!B7</f>
        <v>Base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53</v>
      </c>
      <c r="B6" s="30">
        <f>Assumptions!B32</f>
        <v>46265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8">
      <c r="A8" s="5" t="s">
        <v>56</v>
      </c>
      <c r="B8" s="6" t="s">
        <v>57</v>
      </c>
      <c r="C8" s="6" t="s">
        <v>58</v>
      </c>
      <c r="D8" s="6" t="s">
        <v>59</v>
      </c>
      <c r="E8" s="6" t="s">
        <v>60</v>
      </c>
      <c r="F8" s="6" t="s">
        <v>61</v>
      </c>
      <c r="G8" s="6" t="s">
        <v>62</v>
      </c>
      <c r="H8" s="6" t="s">
        <v>63</v>
      </c>
      <c r="I8" s="6" t="s">
        <v>13</v>
      </c>
      <c r="J8" s="6" t="s">
        <v>64</v>
      </c>
      <c r="K8" s="6" t="s">
        <v>65</v>
      </c>
      <c r="L8" s="6" t="s">
        <v>16</v>
      </c>
      <c r="M8" s="6" t="s">
        <v>66</v>
      </c>
      <c r="N8" s="6" t="s">
        <v>67</v>
      </c>
      <c r="O8" s="6" t="s">
        <v>68</v>
      </c>
      <c r="P8" s="6" t="s">
        <v>69</v>
      </c>
      <c r="Q8" s="6" t="s">
        <v>70</v>
      </c>
      <c r="R8" s="6" t="s">
        <v>71</v>
      </c>
      <c r="S8" s="6" t="s">
        <v>72</v>
      </c>
      <c r="T8" s="7" t="s">
        <v>18</v>
      </c>
      <c r="U8" s="1"/>
      <c r="V8" s="1"/>
      <c r="W8" s="1"/>
      <c r="X8" s="1"/>
      <c r="Y8" s="1"/>
      <c r="Z8" s="1"/>
    </row>
    <row r="9" spans="1:26">
      <c r="A9" s="29" t="str">
        <f>'Project Master'!A6</f>
        <v>P-101</v>
      </c>
      <c r="B9" s="29" t="str">
        <f>'Project Master'!B6</f>
        <v>Substation Equipment Replacement</v>
      </c>
      <c r="C9" s="29" t="str">
        <f>'Project Master'!C6</f>
        <v>Utility</v>
      </c>
      <c r="D9" s="32">
        <f>'Project Master'!H6+'Project Master'!I6</f>
        <v>1620000</v>
      </c>
      <c r="E9" s="32">
        <f>SUMIFS(Transactions!$H$6:$H$60,Transactions!$C$6:$C$60,$A9,Transactions!$D$6:$D$60,"Vendor Invoice")+SUMIFS(Transactions!$H$6:$H$60,Transactions!$C$6:$C$60,$A9,Transactions!$D$6:$D$60,"Accrual")</f>
        <v>1025000</v>
      </c>
      <c r="F9" s="32">
        <f>SUMIFS(Transactions!$H$6:$H$60,Transactions!$C$6:$C$60,$A9,Transactions!$D$6:$D$60,"Commitment")</f>
        <v>300000</v>
      </c>
      <c r="G9" s="32">
        <f>MAX(F9,'Project Master'!N6)*(1+Assumptions!$C$11)</f>
        <v>650000</v>
      </c>
      <c r="H9" s="33">
        <f>E9+G9</f>
        <v>1675000</v>
      </c>
      <c r="I9" s="33">
        <f>D9-H9</f>
        <v>-55000</v>
      </c>
      <c r="J9" s="32">
        <f>'Project Master'!J6+'Project Master'!K6</f>
        <v>2105000</v>
      </c>
      <c r="K9" s="33">
        <f>J9-H9</f>
        <v>430000</v>
      </c>
      <c r="L9" s="25">
        <f t="shared" ref="L9:L14" si="0">IF(J9=0,"n.a.",K9/J9)</f>
        <v>0.20427553444180521</v>
      </c>
      <c r="M9" s="32">
        <f>SUMIFS(Transactions!$H$6:$H$60,Transactions!$C$6:$C$60,$A9,Transactions!$D$6:$D$60,"Client Billing")</f>
        <v>1200000</v>
      </c>
      <c r="N9" s="32">
        <f>SUMIFS(Transactions!$H$6:$H$60,Transactions!$C$6:$C$60,$A9,Transactions!$D$6:$D$60,"Cash Receipt")</f>
        <v>950000</v>
      </c>
      <c r="O9" s="33">
        <f>MAX(0,M9-N9)</f>
        <v>250000</v>
      </c>
      <c r="P9" s="33">
        <f>J9*R9</f>
        <v>1368250</v>
      </c>
      <c r="Q9" s="33">
        <f>MAX(0,P9-M9)</f>
        <v>168250</v>
      </c>
      <c r="R9" s="36">
        <f>_xlfn.XLOOKUP($A9,'Project Master'!$A$6:$A$10,'Project Master'!$L$6:$L$10,"Check project ID")</f>
        <v>0.65</v>
      </c>
      <c r="S9" s="29" t="str">
        <f>'Project Master'!M6</f>
        <v>In Progress</v>
      </c>
      <c r="T9" s="1" t="str">
        <f>IF(I9&lt;0,"Cost overrun",IF(O9&gt;250000,"Collection follow-up",IF(S9="Delayed","Schedule review","On track")))</f>
        <v>Cost overrun</v>
      </c>
      <c r="U9" s="1"/>
      <c r="V9" s="1"/>
      <c r="W9" s="1"/>
      <c r="X9" s="1"/>
      <c r="Y9" s="1"/>
      <c r="Z9" s="1"/>
    </row>
    <row r="10" spans="1:26">
      <c r="A10" s="29" t="str">
        <f>'Project Master'!A7</f>
        <v>P-102</v>
      </c>
      <c r="B10" s="29" t="str">
        <f>'Project Master'!B7</f>
        <v>Natural Gas Pipeline Inspection</v>
      </c>
      <c r="C10" s="29" t="str">
        <f>'Project Master'!C7</f>
        <v>Oil &amp; Gas</v>
      </c>
      <c r="D10" s="32">
        <f>'Project Master'!H7+'Project Master'!I7</f>
        <v>1180000</v>
      </c>
      <c r="E10" s="32">
        <f>SUMIFS(Transactions!$H$6:$H$60,Transactions!$C$6:$C$60,$A10,Transactions!$D$6:$D$60,"Vendor Invoice")+SUMIFS(Transactions!$H$6:$H$60,Transactions!$C$6:$C$60,$A10,Transactions!$D$6:$D$60,"Accrual")</f>
        <v>820000</v>
      </c>
      <c r="F10" s="32">
        <f>SUMIFS(Transactions!$H$6:$H$60,Transactions!$C$6:$C$60,$A10,Transactions!$D$6:$D$60,"Commitment")</f>
        <v>230000</v>
      </c>
      <c r="G10" s="32">
        <f>MAX(F10,'Project Master'!N7)*(1+Assumptions!$C$11)</f>
        <v>330000</v>
      </c>
      <c r="H10" s="33">
        <f>E10+G10</f>
        <v>1150000</v>
      </c>
      <c r="I10" s="33">
        <f>D10-H10</f>
        <v>30000</v>
      </c>
      <c r="J10" s="32">
        <f>'Project Master'!J7+'Project Master'!K7</f>
        <v>1545000</v>
      </c>
      <c r="K10" s="33">
        <f>J10-H10</f>
        <v>395000</v>
      </c>
      <c r="L10" s="25">
        <f t="shared" si="0"/>
        <v>0.25566343042071199</v>
      </c>
      <c r="M10" s="32">
        <f>SUMIFS(Transactions!$H$6:$H$60,Transactions!$C$6:$C$60,$A10,Transactions!$D$6:$D$60,"Client Billing")</f>
        <v>1050000</v>
      </c>
      <c r="N10" s="32">
        <f>SUMIFS(Transactions!$H$6:$H$60,Transactions!$C$6:$C$60,$A10,Transactions!$D$6:$D$60,"Cash Receipt")</f>
        <v>860000</v>
      </c>
      <c r="O10" s="33">
        <f>MAX(0,M10-N10)</f>
        <v>190000</v>
      </c>
      <c r="P10" s="33">
        <f>J10*R10</f>
        <v>1112400</v>
      </c>
      <c r="Q10" s="33">
        <f>MAX(0,P10-M10)</f>
        <v>62400</v>
      </c>
      <c r="R10" s="36">
        <f>_xlfn.XLOOKUP($A10,'Project Master'!$A$6:$A$10,'Project Master'!$L$6:$L$10,"Check project ID")</f>
        <v>0.72</v>
      </c>
      <c r="S10" s="29" t="str">
        <f>'Project Master'!M7</f>
        <v>In Progress</v>
      </c>
      <c r="T10" s="1" t="str">
        <f>IF(I10&lt;0,"Cost overrun",IF(O10&gt;250000,"Collection follow-up",IF(S10="Delayed","Schedule review","On track")))</f>
        <v>On track</v>
      </c>
      <c r="U10" s="1"/>
      <c r="V10" s="1"/>
      <c r="W10" s="1"/>
      <c r="X10" s="1"/>
      <c r="Y10" s="1"/>
      <c r="Z10" s="1"/>
    </row>
    <row r="11" spans="1:26">
      <c r="A11" s="29" t="str">
        <f>'Project Master'!A8</f>
        <v>P-103</v>
      </c>
      <c r="B11" s="29" t="str">
        <f>'Project Master'!B8</f>
        <v>Rural Power-Line Upgrade</v>
      </c>
      <c r="C11" s="29" t="str">
        <f>'Project Master'!C8</f>
        <v>Utility</v>
      </c>
      <c r="D11" s="32">
        <f>'Project Master'!H8+'Project Master'!I8</f>
        <v>2010000</v>
      </c>
      <c r="E11" s="32">
        <f>SUMIFS(Transactions!$H$6:$H$60,Transactions!$C$6:$C$60,$A11,Transactions!$D$6:$D$60,"Vendor Invoice")+SUMIFS(Transactions!$H$6:$H$60,Transactions!$C$6:$C$60,$A11,Transactions!$D$6:$D$60,"Accrual")</f>
        <v>1150000</v>
      </c>
      <c r="F11" s="32">
        <f>SUMIFS(Transactions!$H$6:$H$60,Transactions!$C$6:$C$60,$A11,Transactions!$D$6:$D$60,"Commitment")</f>
        <v>510000</v>
      </c>
      <c r="G11" s="32">
        <f>MAX(F11,'Project Master'!N8)*(1+Assumptions!$C$11)</f>
        <v>980000</v>
      </c>
      <c r="H11" s="33">
        <f>E11+G11</f>
        <v>2130000</v>
      </c>
      <c r="I11" s="33">
        <f>D11-H11</f>
        <v>-120000</v>
      </c>
      <c r="J11" s="32">
        <f>'Project Master'!J8+'Project Master'!K8</f>
        <v>2610000</v>
      </c>
      <c r="K11" s="33">
        <f>J11-H11</f>
        <v>480000</v>
      </c>
      <c r="L11" s="25">
        <f t="shared" si="0"/>
        <v>0.18390804597701149</v>
      </c>
      <c r="M11" s="32">
        <f>SUMIFS(Transactions!$H$6:$H$60,Transactions!$C$6:$C$60,$A11,Transactions!$D$6:$D$60,"Client Billing")</f>
        <v>1350000</v>
      </c>
      <c r="N11" s="32">
        <f>SUMIFS(Transactions!$H$6:$H$60,Transactions!$C$6:$C$60,$A11,Transactions!$D$6:$D$60,"Cash Receipt")</f>
        <v>1130000</v>
      </c>
      <c r="O11" s="33">
        <f>MAX(0,M11-N11)</f>
        <v>220000</v>
      </c>
      <c r="P11" s="33">
        <f>J11*R11</f>
        <v>1513800</v>
      </c>
      <c r="Q11" s="33">
        <f>MAX(0,P11-M11)</f>
        <v>163800</v>
      </c>
      <c r="R11" s="36">
        <f>_xlfn.XLOOKUP($A11,'Project Master'!$A$6:$A$10,'Project Master'!$L$6:$L$10,"Check project ID")</f>
        <v>0.57999999999999996</v>
      </c>
      <c r="S11" s="29" t="str">
        <f>'Project Master'!M8</f>
        <v>Delayed</v>
      </c>
      <c r="T11" s="1" t="str">
        <f>IF(I11&lt;0,"Cost overrun",IF(O11&gt;250000,"Collection follow-up",IF(S11="Delayed","Schedule review","On track")))</f>
        <v>Cost overrun</v>
      </c>
      <c r="U11" s="1"/>
      <c r="V11" s="1"/>
      <c r="W11" s="1"/>
      <c r="X11" s="1"/>
      <c r="Y11" s="1"/>
      <c r="Z11" s="1"/>
    </row>
    <row r="12" spans="1:26">
      <c r="A12" s="29" t="str">
        <f>'Project Master'!A9</f>
        <v>P-104</v>
      </c>
      <c r="B12" s="29" t="str">
        <f>'Project Master'!B9</f>
        <v>Compressor Station Maintenance</v>
      </c>
      <c r="C12" s="29" t="str">
        <f>'Project Master'!C9</f>
        <v>Oil &amp; Gas</v>
      </c>
      <c r="D12" s="32">
        <f>'Project Master'!H9+'Project Master'!I9</f>
        <v>990000</v>
      </c>
      <c r="E12" s="32">
        <f>SUMIFS(Transactions!$H$6:$H$60,Transactions!$C$6:$C$60,$A12,Transactions!$D$6:$D$60,"Vendor Invoice")+SUMIFS(Transactions!$H$6:$H$60,Transactions!$C$6:$C$60,$A12,Transactions!$D$6:$D$60,"Accrual")</f>
        <v>800000</v>
      </c>
      <c r="F12" s="32">
        <f>SUMIFS(Transactions!$H$6:$H$60,Transactions!$C$6:$C$60,$A12,Transactions!$D$6:$D$60,"Commitment")</f>
        <v>120000</v>
      </c>
      <c r="G12" s="32">
        <f>MAX(F12,'Project Master'!N9)*(1+Assumptions!$C$11)</f>
        <v>175000</v>
      </c>
      <c r="H12" s="33">
        <f>E12+G12</f>
        <v>975000</v>
      </c>
      <c r="I12" s="33">
        <f>D12-H12</f>
        <v>15000</v>
      </c>
      <c r="J12" s="32">
        <f>'Project Master'!J9+'Project Master'!K9</f>
        <v>1275000</v>
      </c>
      <c r="K12" s="33">
        <f>J12-H12</f>
        <v>300000</v>
      </c>
      <c r="L12" s="25">
        <f t="shared" si="0"/>
        <v>0.23529411764705882</v>
      </c>
      <c r="M12" s="32">
        <f>SUMIFS(Transactions!$H$6:$H$60,Transactions!$C$6:$C$60,$A12,Transactions!$D$6:$D$60,"Client Billing")</f>
        <v>950000</v>
      </c>
      <c r="N12" s="32">
        <f>SUMIFS(Transactions!$H$6:$H$60,Transactions!$C$6:$C$60,$A12,Transactions!$D$6:$D$60,"Cash Receipt")</f>
        <v>830000</v>
      </c>
      <c r="O12" s="33">
        <f>MAX(0,M12-N12)</f>
        <v>120000</v>
      </c>
      <c r="P12" s="33">
        <f>J12*R12</f>
        <v>1058250</v>
      </c>
      <c r="Q12" s="33">
        <f>MAX(0,P12-M12)</f>
        <v>108250</v>
      </c>
      <c r="R12" s="36">
        <f>_xlfn.XLOOKUP($A12,'Project Master'!$A$6:$A$10,'Project Master'!$L$6:$L$10,"Check project ID")</f>
        <v>0.83</v>
      </c>
      <c r="S12" s="29" t="str">
        <f>'Project Master'!M9</f>
        <v>In Progress</v>
      </c>
      <c r="T12" s="1" t="str">
        <f>IF(I12&lt;0,"Cost overrun",IF(O12&gt;250000,"Collection follow-up",IF(S12="Delayed","Schedule review","On track")))</f>
        <v>On track</v>
      </c>
      <c r="U12" s="1"/>
      <c r="V12" s="1"/>
      <c r="W12" s="1"/>
      <c r="X12" s="1"/>
      <c r="Y12" s="1"/>
      <c r="Z12" s="1"/>
    </row>
    <row r="13" spans="1:26">
      <c r="A13" s="29" t="str">
        <f>'Project Master'!A10</f>
        <v>P-105</v>
      </c>
      <c r="B13" s="29" t="str">
        <f>'Project Master'!B10</f>
        <v>Fleet Garage Construction</v>
      </c>
      <c r="C13" s="29" t="str">
        <f>'Project Master'!C10</f>
        <v>Construction</v>
      </c>
      <c r="D13" s="32">
        <f>'Project Master'!H10+'Project Master'!I10</f>
        <v>1425000</v>
      </c>
      <c r="E13" s="32">
        <f>SUMIFS(Transactions!$H$6:$H$60,Transactions!$C$6:$C$60,$A13,Transactions!$D$6:$D$60,"Vendor Invoice")+SUMIFS(Transactions!$H$6:$H$60,Transactions!$C$6:$C$60,$A13,Transactions!$D$6:$D$60,"Accrual")</f>
        <v>700000</v>
      </c>
      <c r="F13" s="32">
        <f>SUMIFS(Transactions!$H$6:$H$60,Transactions!$C$6:$C$60,$A13,Transactions!$D$6:$D$60,"Commitment")</f>
        <v>420000</v>
      </c>
      <c r="G13" s="32">
        <f>MAX(F13,'Project Master'!N10)*(1+Assumptions!$C$11)</f>
        <v>760000</v>
      </c>
      <c r="H13" s="33">
        <f>E13+G13</f>
        <v>1460000</v>
      </c>
      <c r="I13" s="33">
        <f>D13-H13</f>
        <v>-35000</v>
      </c>
      <c r="J13" s="32">
        <f>'Project Master'!J10+'Project Master'!K10</f>
        <v>1870000</v>
      </c>
      <c r="K13" s="33">
        <f>J13-H13</f>
        <v>410000</v>
      </c>
      <c r="L13" s="25">
        <f t="shared" si="0"/>
        <v>0.21925133689839571</v>
      </c>
      <c r="M13" s="32">
        <f>SUMIFS(Transactions!$H$6:$H$60,Transactions!$C$6:$C$60,$A13,Transactions!$D$6:$D$60,"Client Billing")</f>
        <v>860000</v>
      </c>
      <c r="N13" s="32">
        <f>SUMIFS(Transactions!$H$6:$H$60,Transactions!$C$6:$C$60,$A13,Transactions!$D$6:$D$60,"Cash Receipt")</f>
        <v>640000</v>
      </c>
      <c r="O13" s="33">
        <f>MAX(0,M13-N13)</f>
        <v>220000</v>
      </c>
      <c r="P13" s="33">
        <f>J13*R13</f>
        <v>916300</v>
      </c>
      <c r="Q13" s="33">
        <f>MAX(0,P13-M13)</f>
        <v>56300</v>
      </c>
      <c r="R13" s="36">
        <f>_xlfn.XLOOKUP($A13,'Project Master'!$A$6:$A$10,'Project Master'!$L$6:$L$10,"Check project ID")</f>
        <v>0.49</v>
      </c>
      <c r="S13" s="29" t="str">
        <f>'Project Master'!M10</f>
        <v>Delayed</v>
      </c>
      <c r="T13" s="1" t="str">
        <f>IF(I13&lt;0,"Cost overrun",IF(O13&gt;250000,"Collection follow-up",IF(S13="Delayed","Schedule review","On track")))</f>
        <v>Cost overrun</v>
      </c>
      <c r="U13" s="1"/>
      <c r="V13" s="1"/>
      <c r="W13" s="1"/>
      <c r="X13" s="1"/>
      <c r="Y13" s="1"/>
      <c r="Z13" s="1"/>
    </row>
    <row r="14" spans="1:26">
      <c r="A14" s="31" t="s">
        <v>73</v>
      </c>
      <c r="B14" s="31" t="s">
        <v>19</v>
      </c>
      <c r="C14" s="31"/>
      <c r="D14" s="34">
        <f t="shared" ref="D14:K14" si="1">SUM(D9:D13)</f>
        <v>7225000</v>
      </c>
      <c r="E14" s="34">
        <f t="shared" si="1"/>
        <v>4495000</v>
      </c>
      <c r="F14" s="34">
        <f t="shared" si="1"/>
        <v>1580000</v>
      </c>
      <c r="G14" s="34">
        <f t="shared" si="1"/>
        <v>2895000</v>
      </c>
      <c r="H14" s="34">
        <f t="shared" si="1"/>
        <v>7390000</v>
      </c>
      <c r="I14" s="34">
        <f t="shared" si="1"/>
        <v>-165000</v>
      </c>
      <c r="J14" s="34">
        <f t="shared" si="1"/>
        <v>9405000</v>
      </c>
      <c r="K14" s="34">
        <f t="shared" si="1"/>
        <v>2015000</v>
      </c>
      <c r="L14" s="35">
        <f t="shared" si="0"/>
        <v>0.21424774056353005</v>
      </c>
      <c r="M14" s="34">
        <f>SUM(M9:M13)</f>
        <v>5410000</v>
      </c>
      <c r="N14" s="34">
        <f>SUM(N9:N13)</f>
        <v>4410000</v>
      </c>
      <c r="O14" s="34">
        <f>SUM(O9:O13)</f>
        <v>1000000</v>
      </c>
      <c r="P14" s="34">
        <f>SUM(P9:P13)</f>
        <v>5969000</v>
      </c>
      <c r="Q14" s="34">
        <f>SUM(Q9:Q13)</f>
        <v>559000</v>
      </c>
      <c r="R14" s="35">
        <f>SUMPRODUCT(D9:D13,R9:R13)/SUM(D9:D13)</f>
        <v>0.63506574394463666</v>
      </c>
      <c r="S14" s="31"/>
      <c r="T14" s="3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conditionalFormatting sqref="I9:I13">
    <cfRule type="cellIs" dxfId="8" priority="1" operator="lessThan">
      <formula>0</formula>
    </cfRule>
    <cfRule type="cellIs" dxfId="7" priority="2" operator="greaterThan">
      <formula>0</formula>
    </cfRule>
  </conditionalFormatting>
  <conditionalFormatting sqref="T9:T13">
    <cfRule type="containsText" dxfId="6" priority="3" operator="containsText" text="Cost overrun"/>
    <cfRule type="containsText" dxfId="5" priority="4" operator="containsText" text="Schedule review"/>
    <cfRule type="containsText" dxfId="4" priority="5" operator="containsText" text="On track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C9" sqref="C9"/>
    </sheetView>
  </sheetViews>
  <sheetFormatPr baseColWidth="10" defaultColWidth="8.83203125" defaultRowHeight="14"/>
  <cols>
    <col min="1" max="1" width="30" customWidth="1"/>
    <col min="2" max="2" width="13" customWidth="1"/>
    <col min="3" max="15" width="14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">
      <c r="A2" s="2" t="s">
        <v>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3" t="s">
        <v>75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1"/>
      <c r="V4" s="1"/>
      <c r="W4" s="1"/>
      <c r="X4" s="1"/>
      <c r="Y4" s="1"/>
      <c r="Z4" s="1"/>
    </row>
    <row r="5" spans="1:26">
      <c r="A5" s="1" t="s">
        <v>2</v>
      </c>
      <c r="B5" s="28" t="str">
        <f>Assumptions!B7</f>
        <v>Base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76</v>
      </c>
      <c r="B6" s="27">
        <v>46272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5" t="s">
        <v>77</v>
      </c>
      <c r="B8" s="6" t="s">
        <v>78</v>
      </c>
      <c r="C8" s="37">
        <v>46272</v>
      </c>
      <c r="D8" s="37">
        <v>46279</v>
      </c>
      <c r="E8" s="37">
        <v>46286</v>
      </c>
      <c r="F8" s="37">
        <v>46293</v>
      </c>
      <c r="G8" s="37">
        <v>46300</v>
      </c>
      <c r="H8" s="37">
        <v>46307</v>
      </c>
      <c r="I8" s="37">
        <v>46314</v>
      </c>
      <c r="J8" s="37">
        <v>46321</v>
      </c>
      <c r="K8" s="37">
        <v>46328</v>
      </c>
      <c r="L8" s="37">
        <v>46335</v>
      </c>
      <c r="M8" s="37">
        <v>46342</v>
      </c>
      <c r="N8" s="37">
        <v>46349</v>
      </c>
      <c r="O8" s="38">
        <v>46356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79</v>
      </c>
      <c r="B9" s="1" t="s">
        <v>80</v>
      </c>
      <c r="C9" s="32">
        <f>Assumptions!$B$8</f>
        <v>1200000</v>
      </c>
      <c r="D9" s="33">
        <f t="shared" ref="D9:O9" si="0">C17</f>
        <v>1140000</v>
      </c>
      <c r="E9" s="33">
        <f t="shared" si="0"/>
        <v>1100000</v>
      </c>
      <c r="F9" s="33">
        <f t="shared" si="0"/>
        <v>1025000</v>
      </c>
      <c r="G9" s="33">
        <f t="shared" si="0"/>
        <v>920000</v>
      </c>
      <c r="H9" s="33">
        <f t="shared" si="0"/>
        <v>805000</v>
      </c>
      <c r="I9" s="33">
        <f t="shared" si="0"/>
        <v>745000</v>
      </c>
      <c r="J9" s="33">
        <f t="shared" si="0"/>
        <v>675000</v>
      </c>
      <c r="K9" s="33">
        <f t="shared" si="0"/>
        <v>580000</v>
      </c>
      <c r="L9" s="33">
        <f t="shared" si="0"/>
        <v>465000</v>
      </c>
      <c r="M9" s="33">
        <f t="shared" si="0"/>
        <v>375000</v>
      </c>
      <c r="N9" s="33">
        <f t="shared" si="0"/>
        <v>265000</v>
      </c>
      <c r="O9" s="33">
        <f t="shared" si="0"/>
        <v>180000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81</v>
      </c>
      <c r="B10" s="1" t="s">
        <v>82</v>
      </c>
      <c r="C10" s="21">
        <v>420000</v>
      </c>
      <c r="D10" s="21">
        <v>310000</v>
      </c>
      <c r="E10" s="21">
        <v>510000</v>
      </c>
      <c r="F10" s="21">
        <v>275000</v>
      </c>
      <c r="G10" s="21">
        <v>460000</v>
      </c>
      <c r="H10" s="21">
        <v>350000</v>
      </c>
      <c r="I10" s="21">
        <v>540000</v>
      </c>
      <c r="J10" s="21">
        <v>295000</v>
      </c>
      <c r="K10" s="21">
        <v>480000</v>
      </c>
      <c r="L10" s="21">
        <v>330000</v>
      </c>
      <c r="M10" s="21">
        <v>525000</v>
      </c>
      <c r="N10" s="21">
        <v>360000</v>
      </c>
      <c r="O10" s="21">
        <v>600000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 t="s">
        <v>83</v>
      </c>
      <c r="B11" s="1" t="s">
        <v>80</v>
      </c>
      <c r="C11" s="32">
        <f>C10*Assumptions!$C$16</f>
        <v>420000</v>
      </c>
      <c r="D11" s="32">
        <f>D10*Assumptions!$C$16</f>
        <v>310000</v>
      </c>
      <c r="E11" s="32">
        <f>E10*Assumptions!$C$16</f>
        <v>510000</v>
      </c>
      <c r="F11" s="32">
        <f>F10*Assumptions!$C$16</f>
        <v>275000</v>
      </c>
      <c r="G11" s="32">
        <f>G10*Assumptions!$C$16</f>
        <v>460000</v>
      </c>
      <c r="H11" s="32">
        <f>H10*Assumptions!$C$16</f>
        <v>350000</v>
      </c>
      <c r="I11" s="32">
        <f>I10*Assumptions!$C$16</f>
        <v>540000</v>
      </c>
      <c r="J11" s="32">
        <f>J10*Assumptions!$C$16</f>
        <v>295000</v>
      </c>
      <c r="K11" s="32">
        <f>K10*Assumptions!$C$16</f>
        <v>480000</v>
      </c>
      <c r="L11" s="32">
        <f>L10*Assumptions!$C$16</f>
        <v>330000</v>
      </c>
      <c r="M11" s="32">
        <f>M10*Assumptions!$C$16</f>
        <v>525000</v>
      </c>
      <c r="N11" s="32">
        <f>N10*Assumptions!$C$16</f>
        <v>360000</v>
      </c>
      <c r="O11" s="32">
        <f>O10*Assumptions!$C$16</f>
        <v>600000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 t="s">
        <v>84</v>
      </c>
      <c r="B12" s="1" t="s">
        <v>82</v>
      </c>
      <c r="C12" s="39">
        <v>300000</v>
      </c>
      <c r="D12" s="39">
        <v>255000</v>
      </c>
      <c r="E12" s="39">
        <v>410000</v>
      </c>
      <c r="F12" s="39">
        <v>280000</v>
      </c>
      <c r="G12" s="39">
        <v>390000</v>
      </c>
      <c r="H12" s="39">
        <v>315000</v>
      </c>
      <c r="I12" s="39">
        <v>430000</v>
      </c>
      <c r="J12" s="39">
        <v>290000</v>
      </c>
      <c r="K12" s="39">
        <v>405000</v>
      </c>
      <c r="L12" s="39">
        <v>325000</v>
      </c>
      <c r="M12" s="39">
        <v>450000</v>
      </c>
      <c r="N12" s="39">
        <v>340000</v>
      </c>
      <c r="O12" s="39">
        <v>470000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 t="s">
        <v>85</v>
      </c>
      <c r="B13" s="1" t="s">
        <v>80</v>
      </c>
      <c r="C13" s="32">
        <f>C12*Assumptions!$C$21</f>
        <v>300000</v>
      </c>
      <c r="D13" s="32">
        <f>D12*Assumptions!$C$21</f>
        <v>255000</v>
      </c>
      <c r="E13" s="32">
        <f>E12*Assumptions!$C$21</f>
        <v>410000</v>
      </c>
      <c r="F13" s="32">
        <f>F12*Assumptions!$C$21</f>
        <v>280000</v>
      </c>
      <c r="G13" s="32">
        <f>G12*Assumptions!$C$21</f>
        <v>390000</v>
      </c>
      <c r="H13" s="32">
        <f>H12*Assumptions!$C$21</f>
        <v>315000</v>
      </c>
      <c r="I13" s="32">
        <f>I12*Assumptions!$C$21</f>
        <v>430000</v>
      </c>
      <c r="J13" s="32">
        <f>J12*Assumptions!$C$21</f>
        <v>290000</v>
      </c>
      <c r="K13" s="32">
        <f>K12*Assumptions!$C$21</f>
        <v>405000</v>
      </c>
      <c r="L13" s="32">
        <f>L12*Assumptions!$C$21</f>
        <v>325000</v>
      </c>
      <c r="M13" s="32">
        <f>M12*Assumptions!$C$21</f>
        <v>450000</v>
      </c>
      <c r="N13" s="32">
        <f>N12*Assumptions!$C$21</f>
        <v>340000</v>
      </c>
      <c r="O13" s="32">
        <f>O12*Assumptions!$C$21</f>
        <v>470000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 t="s">
        <v>86</v>
      </c>
      <c r="B14" s="1" t="s">
        <v>82</v>
      </c>
      <c r="C14" s="39">
        <v>180000</v>
      </c>
      <c r="D14" s="39">
        <v>95000</v>
      </c>
      <c r="E14" s="39">
        <v>175000</v>
      </c>
      <c r="F14" s="39">
        <v>100000</v>
      </c>
      <c r="G14" s="39">
        <v>185000</v>
      </c>
      <c r="H14" s="39">
        <v>95000</v>
      </c>
      <c r="I14" s="39">
        <v>180000</v>
      </c>
      <c r="J14" s="39">
        <v>100000</v>
      </c>
      <c r="K14" s="39">
        <v>190000</v>
      </c>
      <c r="L14" s="39">
        <v>95000</v>
      </c>
      <c r="M14" s="39">
        <v>185000</v>
      </c>
      <c r="N14" s="39">
        <v>105000</v>
      </c>
      <c r="O14" s="39">
        <v>205000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 t="s">
        <v>87</v>
      </c>
      <c r="B15" s="1" t="s">
        <v>80</v>
      </c>
      <c r="C15" s="32">
        <f>C14*Assumptions!$C$26</f>
        <v>180000</v>
      </c>
      <c r="D15" s="32">
        <f>D14*Assumptions!$C$26</f>
        <v>95000</v>
      </c>
      <c r="E15" s="32">
        <f>E14*Assumptions!$C$26</f>
        <v>175000</v>
      </c>
      <c r="F15" s="32">
        <f>F14*Assumptions!$C$26</f>
        <v>100000</v>
      </c>
      <c r="G15" s="32">
        <f>G14*Assumptions!$C$26</f>
        <v>185000</v>
      </c>
      <c r="H15" s="32">
        <f>H14*Assumptions!$C$26</f>
        <v>95000</v>
      </c>
      <c r="I15" s="32">
        <f>I14*Assumptions!$C$26</f>
        <v>180000</v>
      </c>
      <c r="J15" s="32">
        <f>J14*Assumptions!$C$26</f>
        <v>100000</v>
      </c>
      <c r="K15" s="32">
        <f>K14*Assumptions!$C$26</f>
        <v>190000</v>
      </c>
      <c r="L15" s="32">
        <f>L14*Assumptions!$C$26</f>
        <v>95000</v>
      </c>
      <c r="M15" s="32">
        <f>M14*Assumptions!$C$26</f>
        <v>185000</v>
      </c>
      <c r="N15" s="32">
        <f>N14*Assumptions!$C$26</f>
        <v>105000</v>
      </c>
      <c r="O15" s="32">
        <f>O14*Assumptions!$C$26</f>
        <v>205000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8" t="s">
        <v>88</v>
      </c>
      <c r="B16" s="18" t="s">
        <v>80</v>
      </c>
      <c r="C16" s="40">
        <f t="shared" ref="C16:O16" si="1">C11-C13-C15</f>
        <v>-60000</v>
      </c>
      <c r="D16" s="40">
        <f t="shared" si="1"/>
        <v>-40000</v>
      </c>
      <c r="E16" s="40">
        <f t="shared" si="1"/>
        <v>-75000</v>
      </c>
      <c r="F16" s="40">
        <f t="shared" si="1"/>
        <v>-105000</v>
      </c>
      <c r="G16" s="40">
        <f t="shared" si="1"/>
        <v>-115000</v>
      </c>
      <c r="H16" s="40">
        <f t="shared" si="1"/>
        <v>-60000</v>
      </c>
      <c r="I16" s="40">
        <f t="shared" si="1"/>
        <v>-70000</v>
      </c>
      <c r="J16" s="40">
        <f t="shared" si="1"/>
        <v>-95000</v>
      </c>
      <c r="K16" s="40">
        <f t="shared" si="1"/>
        <v>-115000</v>
      </c>
      <c r="L16" s="40">
        <f t="shared" si="1"/>
        <v>-90000</v>
      </c>
      <c r="M16" s="40">
        <f t="shared" si="1"/>
        <v>-110000</v>
      </c>
      <c r="N16" s="40">
        <f t="shared" si="1"/>
        <v>-85000</v>
      </c>
      <c r="O16" s="40">
        <f t="shared" si="1"/>
        <v>-75000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41" t="s">
        <v>8</v>
      </c>
      <c r="B17" s="41" t="s">
        <v>80</v>
      </c>
      <c r="C17" s="42">
        <f t="shared" ref="C17:O17" si="2">C9+C16</f>
        <v>1140000</v>
      </c>
      <c r="D17" s="42">
        <f t="shared" si="2"/>
        <v>1100000</v>
      </c>
      <c r="E17" s="42">
        <f t="shared" si="2"/>
        <v>1025000</v>
      </c>
      <c r="F17" s="42">
        <f t="shared" si="2"/>
        <v>920000</v>
      </c>
      <c r="G17" s="42">
        <f t="shared" si="2"/>
        <v>805000</v>
      </c>
      <c r="H17" s="42">
        <f t="shared" si="2"/>
        <v>745000</v>
      </c>
      <c r="I17" s="42">
        <f t="shared" si="2"/>
        <v>675000</v>
      </c>
      <c r="J17" s="42">
        <f t="shared" si="2"/>
        <v>580000</v>
      </c>
      <c r="K17" s="42">
        <f t="shared" si="2"/>
        <v>465000</v>
      </c>
      <c r="L17" s="42">
        <f t="shared" si="2"/>
        <v>375000</v>
      </c>
      <c r="M17" s="42">
        <f t="shared" si="2"/>
        <v>265000</v>
      </c>
      <c r="N17" s="42">
        <f t="shared" si="2"/>
        <v>180000</v>
      </c>
      <c r="O17" s="42">
        <f t="shared" si="2"/>
        <v>105000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conditionalFormatting sqref="C17:O17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showGridLines="0" topLeftCell="H1" workbookViewId="0">
      <pane ySplit="5" topLeftCell="A6" activePane="bottomLeft" state="frozen"/>
      <selection pane="bottomLeft" activeCell="N6" sqref="N6"/>
    </sheetView>
  </sheetViews>
  <sheetFormatPr baseColWidth="10" defaultColWidth="8.83203125" defaultRowHeight="14"/>
  <cols>
    <col min="1" max="1" width="9.6640625" customWidth="1"/>
    <col min="2" max="2" width="34" customWidth="1"/>
    <col min="3" max="3" width="10.83203125" bestFit="1" customWidth="1"/>
    <col min="4" max="4" width="14.1640625" customWidth="1"/>
    <col min="5" max="5" width="10.83203125" customWidth="1"/>
    <col min="6" max="6" width="9.6640625" customWidth="1"/>
    <col min="7" max="7" width="16.1640625" customWidth="1"/>
    <col min="8" max="11" width="18" customWidth="1"/>
    <col min="12" max="12" width="12.5" customWidth="1"/>
    <col min="13" max="13" width="12.6640625" customWidth="1"/>
    <col min="14" max="14" width="20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">
      <c r="A2" s="2" t="s">
        <v>89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3" t="s">
        <v>90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1"/>
      <c r="V4" s="1"/>
      <c r="W4" s="1"/>
      <c r="X4" s="1"/>
      <c r="Y4" s="1"/>
      <c r="Z4" s="1"/>
    </row>
    <row r="5" spans="1:26" ht="28">
      <c r="A5" s="5" t="s">
        <v>56</v>
      </c>
      <c r="B5" s="6" t="s">
        <v>57</v>
      </c>
      <c r="C5" s="6" t="s">
        <v>58</v>
      </c>
      <c r="D5" s="6" t="s">
        <v>91</v>
      </c>
      <c r="E5" s="6" t="s">
        <v>92</v>
      </c>
      <c r="F5" s="6" t="s">
        <v>93</v>
      </c>
      <c r="G5" s="6" t="s">
        <v>94</v>
      </c>
      <c r="H5" s="6" t="s">
        <v>95</v>
      </c>
      <c r="I5" s="6" t="s">
        <v>96</v>
      </c>
      <c r="J5" s="6" t="s">
        <v>97</v>
      </c>
      <c r="K5" s="6" t="s">
        <v>98</v>
      </c>
      <c r="L5" s="6" t="s">
        <v>71</v>
      </c>
      <c r="M5" s="6" t="s">
        <v>72</v>
      </c>
      <c r="N5" s="6" t="s">
        <v>99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8" t="s">
        <v>100</v>
      </c>
      <c r="B6" s="8" t="s">
        <v>101</v>
      </c>
      <c r="C6" s="8" t="s">
        <v>102</v>
      </c>
      <c r="D6" s="8" t="s">
        <v>103</v>
      </c>
      <c r="E6" s="8" t="s">
        <v>104</v>
      </c>
      <c r="F6" s="9">
        <v>46037</v>
      </c>
      <c r="G6" s="9">
        <v>46371</v>
      </c>
      <c r="H6" s="10">
        <v>1500000</v>
      </c>
      <c r="I6" s="10">
        <v>120000</v>
      </c>
      <c r="J6" s="10">
        <v>1950000</v>
      </c>
      <c r="K6" s="10">
        <v>155000</v>
      </c>
      <c r="L6" s="11">
        <v>0.65</v>
      </c>
      <c r="M6" s="8" t="s">
        <v>105</v>
      </c>
      <c r="N6" s="12">
        <v>650000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8" t="s">
        <v>106</v>
      </c>
      <c r="B7" s="8" t="s">
        <v>107</v>
      </c>
      <c r="C7" s="8" t="s">
        <v>108</v>
      </c>
      <c r="D7" s="8" t="s">
        <v>109</v>
      </c>
      <c r="E7" s="8" t="s">
        <v>110</v>
      </c>
      <c r="F7" s="9">
        <v>46082</v>
      </c>
      <c r="G7" s="9">
        <v>46326</v>
      </c>
      <c r="H7" s="10">
        <v>1100000</v>
      </c>
      <c r="I7" s="10">
        <v>80000</v>
      </c>
      <c r="J7" s="10">
        <v>1450000</v>
      </c>
      <c r="K7" s="10">
        <v>95000</v>
      </c>
      <c r="L7" s="11">
        <v>0.72</v>
      </c>
      <c r="M7" s="8" t="s">
        <v>105</v>
      </c>
      <c r="N7" s="12">
        <v>330000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8" t="s">
        <v>111</v>
      </c>
      <c r="B8" s="8" t="s">
        <v>112</v>
      </c>
      <c r="C8" s="8" t="s">
        <v>102</v>
      </c>
      <c r="D8" s="8" t="s">
        <v>113</v>
      </c>
      <c r="E8" s="8" t="s">
        <v>114</v>
      </c>
      <c r="F8" s="9">
        <v>46063</v>
      </c>
      <c r="G8" s="9">
        <v>46356</v>
      </c>
      <c r="H8" s="10">
        <v>1800000</v>
      </c>
      <c r="I8" s="10">
        <v>210000</v>
      </c>
      <c r="J8" s="10">
        <v>2350000</v>
      </c>
      <c r="K8" s="10">
        <v>260000</v>
      </c>
      <c r="L8" s="11">
        <v>0.57999999999999996</v>
      </c>
      <c r="M8" s="8" t="s">
        <v>115</v>
      </c>
      <c r="N8" s="12">
        <v>980000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8" t="s">
        <v>116</v>
      </c>
      <c r="B9" s="8" t="s">
        <v>117</v>
      </c>
      <c r="C9" s="8" t="s">
        <v>108</v>
      </c>
      <c r="D9" s="8" t="s">
        <v>118</v>
      </c>
      <c r="E9" s="8" t="s">
        <v>119</v>
      </c>
      <c r="F9" s="9">
        <v>46113</v>
      </c>
      <c r="G9" s="9">
        <v>46295</v>
      </c>
      <c r="H9" s="10">
        <v>950000</v>
      </c>
      <c r="I9" s="10">
        <v>40000</v>
      </c>
      <c r="J9" s="10">
        <v>1220000</v>
      </c>
      <c r="K9" s="10">
        <v>55000</v>
      </c>
      <c r="L9" s="11">
        <v>0.83</v>
      </c>
      <c r="M9" s="8" t="s">
        <v>105</v>
      </c>
      <c r="N9" s="12">
        <v>175000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3" t="s">
        <v>120</v>
      </c>
      <c r="B10" s="13" t="s">
        <v>121</v>
      </c>
      <c r="C10" s="13" t="s">
        <v>122</v>
      </c>
      <c r="D10" s="13" t="s">
        <v>123</v>
      </c>
      <c r="E10" s="13" t="s">
        <v>104</v>
      </c>
      <c r="F10" s="14">
        <v>46027</v>
      </c>
      <c r="G10" s="14">
        <v>46376</v>
      </c>
      <c r="H10" s="15">
        <v>1250000</v>
      </c>
      <c r="I10" s="15">
        <v>175000</v>
      </c>
      <c r="J10" s="15">
        <v>1650000</v>
      </c>
      <c r="K10" s="15">
        <v>220000</v>
      </c>
      <c r="L10" s="16">
        <v>0.49</v>
      </c>
      <c r="M10" s="13" t="s">
        <v>115</v>
      </c>
      <c r="N10" s="17">
        <v>760000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showGridLines="0" workbookViewId="0">
      <pane ySplit="5" topLeftCell="A6" activePane="bottomLeft" state="frozen"/>
      <selection pane="bottomLeft" activeCell="H31" sqref="H31"/>
    </sheetView>
  </sheetViews>
  <sheetFormatPr baseColWidth="10" defaultColWidth="8.83203125" defaultRowHeight="14"/>
  <cols>
    <col min="1" max="1" width="13" customWidth="1"/>
    <col min="2" max="2" width="14.83203125" customWidth="1"/>
    <col min="3" max="3" width="9.6640625" customWidth="1"/>
    <col min="4" max="6" width="23" customWidth="1"/>
    <col min="7" max="7" width="8.6640625" bestFit="1" customWidth="1"/>
    <col min="8" max="8" width="8.3320312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">
      <c r="A2" s="2" t="s">
        <v>124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3" t="s">
        <v>125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1"/>
      <c r="V4" s="1"/>
      <c r="W4" s="1"/>
      <c r="X4" s="1"/>
      <c r="Y4" s="1"/>
      <c r="Z4" s="1"/>
    </row>
    <row r="5" spans="1:26" ht="28">
      <c r="A5" s="5" t="s">
        <v>126</v>
      </c>
      <c r="B5" s="6" t="s">
        <v>127</v>
      </c>
      <c r="C5" s="6" t="s">
        <v>56</v>
      </c>
      <c r="D5" s="6" t="s">
        <v>128</v>
      </c>
      <c r="E5" s="6" t="s">
        <v>129</v>
      </c>
      <c r="F5" s="6" t="s">
        <v>130</v>
      </c>
      <c r="G5" s="6" t="s">
        <v>10</v>
      </c>
      <c r="H5" s="7" t="s">
        <v>131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8" t="s">
        <v>132</v>
      </c>
      <c r="B6" s="9">
        <v>46061</v>
      </c>
      <c r="C6" s="8" t="s">
        <v>100</v>
      </c>
      <c r="D6" s="8" t="s">
        <v>133</v>
      </c>
      <c r="E6" s="8" t="s">
        <v>134</v>
      </c>
      <c r="F6" s="8" t="s">
        <v>135</v>
      </c>
      <c r="G6" s="8" t="s">
        <v>136</v>
      </c>
      <c r="H6" s="10">
        <v>210000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8" t="s">
        <v>137</v>
      </c>
      <c r="B7" s="9">
        <v>46089</v>
      </c>
      <c r="C7" s="8" t="s">
        <v>100</v>
      </c>
      <c r="D7" s="8" t="s">
        <v>133</v>
      </c>
      <c r="E7" s="8" t="s">
        <v>138</v>
      </c>
      <c r="F7" s="8" t="s">
        <v>139</v>
      </c>
      <c r="G7" s="8" t="s">
        <v>136</v>
      </c>
      <c r="H7" s="10">
        <v>185000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8" t="s">
        <v>140</v>
      </c>
      <c r="B8" s="9">
        <v>46120</v>
      </c>
      <c r="C8" s="8" t="s">
        <v>100</v>
      </c>
      <c r="D8" s="8" t="s">
        <v>133</v>
      </c>
      <c r="E8" s="8" t="s">
        <v>141</v>
      </c>
      <c r="F8" s="8" t="s">
        <v>142</v>
      </c>
      <c r="G8" s="8" t="s">
        <v>136</v>
      </c>
      <c r="H8" s="10">
        <v>160000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8" t="s">
        <v>143</v>
      </c>
      <c r="B9" s="9">
        <v>46150</v>
      </c>
      <c r="C9" s="8" t="s">
        <v>100</v>
      </c>
      <c r="D9" s="8" t="s">
        <v>133</v>
      </c>
      <c r="E9" s="8" t="s">
        <v>144</v>
      </c>
      <c r="F9" s="8" t="s">
        <v>145</v>
      </c>
      <c r="G9" s="8" t="s">
        <v>136</v>
      </c>
      <c r="H9" s="10">
        <v>235000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8" t="s">
        <v>146</v>
      </c>
      <c r="B10" s="9">
        <v>46181</v>
      </c>
      <c r="C10" s="8" t="s">
        <v>100</v>
      </c>
      <c r="D10" s="8" t="s">
        <v>133</v>
      </c>
      <c r="E10" s="8" t="s">
        <v>147</v>
      </c>
      <c r="F10" s="8" t="s">
        <v>148</v>
      </c>
      <c r="G10" s="8" t="s">
        <v>136</v>
      </c>
      <c r="H10" s="10">
        <v>150000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8" t="s">
        <v>149</v>
      </c>
      <c r="B11" s="9">
        <v>46262</v>
      </c>
      <c r="C11" s="8" t="s">
        <v>100</v>
      </c>
      <c r="D11" s="8" t="s">
        <v>150</v>
      </c>
      <c r="E11" s="8" t="s">
        <v>151</v>
      </c>
      <c r="F11" s="8" t="s">
        <v>148</v>
      </c>
      <c r="G11" s="8" t="s">
        <v>152</v>
      </c>
      <c r="H11" s="10">
        <v>85000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8" t="s">
        <v>153</v>
      </c>
      <c r="B12" s="9">
        <v>46265</v>
      </c>
      <c r="C12" s="8" t="s">
        <v>100</v>
      </c>
      <c r="D12" s="8" t="s">
        <v>154</v>
      </c>
      <c r="E12" s="8" t="s">
        <v>155</v>
      </c>
      <c r="F12" s="8" t="s">
        <v>142</v>
      </c>
      <c r="G12" s="8" t="s">
        <v>156</v>
      </c>
      <c r="H12" s="10">
        <v>300000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8" t="s">
        <v>157</v>
      </c>
      <c r="B13" s="9">
        <v>46157</v>
      </c>
      <c r="C13" s="8" t="s">
        <v>100</v>
      </c>
      <c r="D13" s="8" t="s">
        <v>158</v>
      </c>
      <c r="E13" s="8" t="s">
        <v>159</v>
      </c>
      <c r="F13" s="8" t="s">
        <v>160</v>
      </c>
      <c r="G13" s="8" t="s">
        <v>161</v>
      </c>
      <c r="H13" s="10">
        <v>650000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8" t="s">
        <v>162</v>
      </c>
      <c r="B14" s="9">
        <v>46218</v>
      </c>
      <c r="C14" s="8" t="s">
        <v>100</v>
      </c>
      <c r="D14" s="8" t="s">
        <v>158</v>
      </c>
      <c r="E14" s="8" t="s">
        <v>159</v>
      </c>
      <c r="F14" s="8" t="s">
        <v>160</v>
      </c>
      <c r="G14" s="8" t="s">
        <v>161</v>
      </c>
      <c r="H14" s="10">
        <v>550000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8" t="s">
        <v>163</v>
      </c>
      <c r="B15" s="9">
        <v>46193</v>
      </c>
      <c r="C15" s="8" t="s">
        <v>100</v>
      </c>
      <c r="D15" s="8" t="s">
        <v>164</v>
      </c>
      <c r="E15" s="8" t="s">
        <v>165</v>
      </c>
      <c r="F15" s="8" t="s">
        <v>160</v>
      </c>
      <c r="G15" s="8" t="s">
        <v>166</v>
      </c>
      <c r="H15" s="10">
        <v>500000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8" t="s">
        <v>167</v>
      </c>
      <c r="B16" s="9">
        <v>46254</v>
      </c>
      <c r="C16" s="8" t="s">
        <v>100</v>
      </c>
      <c r="D16" s="8" t="s">
        <v>164</v>
      </c>
      <c r="E16" s="8" t="s">
        <v>165</v>
      </c>
      <c r="F16" s="8" t="s">
        <v>160</v>
      </c>
      <c r="G16" s="8" t="s">
        <v>166</v>
      </c>
      <c r="H16" s="10">
        <v>450000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8" t="s">
        <v>168</v>
      </c>
      <c r="B17" s="9">
        <v>46062</v>
      </c>
      <c r="C17" s="8" t="s">
        <v>106</v>
      </c>
      <c r="D17" s="8" t="s">
        <v>133</v>
      </c>
      <c r="E17" s="8" t="s">
        <v>134</v>
      </c>
      <c r="F17" s="8" t="s">
        <v>135</v>
      </c>
      <c r="G17" s="8" t="s">
        <v>136</v>
      </c>
      <c r="H17" s="10">
        <v>180000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8" t="s">
        <v>169</v>
      </c>
      <c r="B18" s="9">
        <v>46090</v>
      </c>
      <c r="C18" s="8" t="s">
        <v>106</v>
      </c>
      <c r="D18" s="8" t="s">
        <v>133</v>
      </c>
      <c r="E18" s="8" t="s">
        <v>138</v>
      </c>
      <c r="F18" s="8" t="s">
        <v>139</v>
      </c>
      <c r="G18" s="8" t="s">
        <v>136</v>
      </c>
      <c r="H18" s="10">
        <v>165000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8" t="s">
        <v>170</v>
      </c>
      <c r="B19" s="9">
        <v>46121</v>
      </c>
      <c r="C19" s="8" t="s">
        <v>106</v>
      </c>
      <c r="D19" s="8" t="s">
        <v>133</v>
      </c>
      <c r="E19" s="8" t="s">
        <v>141</v>
      </c>
      <c r="F19" s="8" t="s">
        <v>142</v>
      </c>
      <c r="G19" s="8" t="s">
        <v>136</v>
      </c>
      <c r="H19" s="10">
        <v>155000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8" t="s">
        <v>171</v>
      </c>
      <c r="B20" s="9">
        <v>46151</v>
      </c>
      <c r="C20" s="8" t="s">
        <v>106</v>
      </c>
      <c r="D20" s="8" t="s">
        <v>133</v>
      </c>
      <c r="E20" s="8" t="s">
        <v>144</v>
      </c>
      <c r="F20" s="8" t="s">
        <v>145</v>
      </c>
      <c r="G20" s="8" t="s">
        <v>136</v>
      </c>
      <c r="H20" s="10">
        <v>170000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8" t="s">
        <v>172</v>
      </c>
      <c r="B21" s="9">
        <v>46182</v>
      </c>
      <c r="C21" s="8" t="s">
        <v>106</v>
      </c>
      <c r="D21" s="8" t="s">
        <v>133</v>
      </c>
      <c r="E21" s="8" t="s">
        <v>147</v>
      </c>
      <c r="F21" s="8" t="s">
        <v>148</v>
      </c>
      <c r="G21" s="8" t="s">
        <v>136</v>
      </c>
      <c r="H21" s="10">
        <v>105000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8" t="s">
        <v>173</v>
      </c>
      <c r="B22" s="9">
        <v>46261</v>
      </c>
      <c r="C22" s="8" t="s">
        <v>106</v>
      </c>
      <c r="D22" s="8" t="s">
        <v>150</v>
      </c>
      <c r="E22" s="8" t="s">
        <v>151</v>
      </c>
      <c r="F22" s="8" t="s">
        <v>148</v>
      </c>
      <c r="G22" s="8" t="s">
        <v>152</v>
      </c>
      <c r="H22" s="10">
        <v>45000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8" t="s">
        <v>174</v>
      </c>
      <c r="B23" s="9">
        <v>46265</v>
      </c>
      <c r="C23" s="8" t="s">
        <v>106</v>
      </c>
      <c r="D23" s="8" t="s">
        <v>154</v>
      </c>
      <c r="E23" s="8" t="s">
        <v>155</v>
      </c>
      <c r="F23" s="8" t="s">
        <v>142</v>
      </c>
      <c r="G23" s="8" t="s">
        <v>156</v>
      </c>
      <c r="H23" s="10">
        <v>230000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8" t="s">
        <v>175</v>
      </c>
      <c r="B24" s="9">
        <v>46158</v>
      </c>
      <c r="C24" s="8" t="s">
        <v>106</v>
      </c>
      <c r="D24" s="8" t="s">
        <v>158</v>
      </c>
      <c r="E24" s="8" t="s">
        <v>159</v>
      </c>
      <c r="F24" s="8" t="s">
        <v>160</v>
      </c>
      <c r="G24" s="8" t="s">
        <v>161</v>
      </c>
      <c r="H24" s="10">
        <v>580000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8" t="s">
        <v>176</v>
      </c>
      <c r="B25" s="9">
        <v>46219</v>
      </c>
      <c r="C25" s="8" t="s">
        <v>106</v>
      </c>
      <c r="D25" s="8" t="s">
        <v>158</v>
      </c>
      <c r="E25" s="8" t="s">
        <v>159</v>
      </c>
      <c r="F25" s="8" t="s">
        <v>160</v>
      </c>
      <c r="G25" s="8" t="s">
        <v>161</v>
      </c>
      <c r="H25" s="10">
        <v>470000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8" t="s">
        <v>177</v>
      </c>
      <c r="B26" s="9">
        <v>46194</v>
      </c>
      <c r="C26" s="8" t="s">
        <v>106</v>
      </c>
      <c r="D26" s="8" t="s">
        <v>164</v>
      </c>
      <c r="E26" s="8" t="s">
        <v>165</v>
      </c>
      <c r="F26" s="8" t="s">
        <v>160</v>
      </c>
      <c r="G26" s="8" t="s">
        <v>166</v>
      </c>
      <c r="H26" s="10">
        <v>500000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8" t="s">
        <v>178</v>
      </c>
      <c r="B27" s="9">
        <v>46255</v>
      </c>
      <c r="C27" s="8" t="s">
        <v>106</v>
      </c>
      <c r="D27" s="8" t="s">
        <v>164</v>
      </c>
      <c r="E27" s="8" t="s">
        <v>165</v>
      </c>
      <c r="F27" s="8" t="s">
        <v>160</v>
      </c>
      <c r="G27" s="8" t="s">
        <v>166</v>
      </c>
      <c r="H27" s="10">
        <v>360000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8" t="s">
        <v>179</v>
      </c>
      <c r="B28" s="9">
        <v>46063</v>
      </c>
      <c r="C28" s="8" t="s">
        <v>111</v>
      </c>
      <c r="D28" s="8" t="s">
        <v>133</v>
      </c>
      <c r="E28" s="8" t="s">
        <v>134</v>
      </c>
      <c r="F28" s="8" t="s">
        <v>135</v>
      </c>
      <c r="G28" s="8" t="s">
        <v>136</v>
      </c>
      <c r="H28" s="10">
        <v>250000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8" t="s">
        <v>180</v>
      </c>
      <c r="B29" s="9">
        <v>46091</v>
      </c>
      <c r="C29" s="8" t="s">
        <v>111</v>
      </c>
      <c r="D29" s="8" t="s">
        <v>133</v>
      </c>
      <c r="E29" s="8" t="s">
        <v>138</v>
      </c>
      <c r="F29" s="8" t="s">
        <v>139</v>
      </c>
      <c r="G29" s="8" t="s">
        <v>136</v>
      </c>
      <c r="H29" s="10">
        <v>220000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8" t="s">
        <v>181</v>
      </c>
      <c r="B30" s="9">
        <v>46122</v>
      </c>
      <c r="C30" s="8" t="s">
        <v>111</v>
      </c>
      <c r="D30" s="8" t="s">
        <v>133</v>
      </c>
      <c r="E30" s="8" t="s">
        <v>141</v>
      </c>
      <c r="F30" s="8" t="s">
        <v>142</v>
      </c>
      <c r="G30" s="8" t="s">
        <v>136</v>
      </c>
      <c r="H30" s="10">
        <v>210000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8" t="s">
        <v>182</v>
      </c>
      <c r="B31" s="9">
        <v>46152</v>
      </c>
      <c r="C31" s="8" t="s">
        <v>111</v>
      </c>
      <c r="D31" s="8" t="s">
        <v>133</v>
      </c>
      <c r="E31" s="8" t="s">
        <v>144</v>
      </c>
      <c r="F31" s="8" t="s">
        <v>145</v>
      </c>
      <c r="G31" s="8" t="s">
        <v>136</v>
      </c>
      <c r="H31" s="10">
        <v>190000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8" t="s">
        <v>183</v>
      </c>
      <c r="B32" s="9">
        <v>46183</v>
      </c>
      <c r="C32" s="8" t="s">
        <v>111</v>
      </c>
      <c r="D32" s="8" t="s">
        <v>133</v>
      </c>
      <c r="E32" s="8" t="s">
        <v>147</v>
      </c>
      <c r="F32" s="8" t="s">
        <v>148</v>
      </c>
      <c r="G32" s="8" t="s">
        <v>136</v>
      </c>
      <c r="H32" s="10">
        <v>170000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8" t="s">
        <v>184</v>
      </c>
      <c r="B33" s="9">
        <v>46260</v>
      </c>
      <c r="C33" s="8" t="s">
        <v>111</v>
      </c>
      <c r="D33" s="8" t="s">
        <v>150</v>
      </c>
      <c r="E33" s="8" t="s">
        <v>151</v>
      </c>
      <c r="F33" s="8" t="s">
        <v>148</v>
      </c>
      <c r="G33" s="8" t="s">
        <v>152</v>
      </c>
      <c r="H33" s="10">
        <v>110000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8" t="s">
        <v>185</v>
      </c>
      <c r="B34" s="9">
        <v>46265</v>
      </c>
      <c r="C34" s="8" t="s">
        <v>111</v>
      </c>
      <c r="D34" s="8" t="s">
        <v>154</v>
      </c>
      <c r="E34" s="8" t="s">
        <v>155</v>
      </c>
      <c r="F34" s="8" t="s">
        <v>142</v>
      </c>
      <c r="G34" s="8" t="s">
        <v>156</v>
      </c>
      <c r="H34" s="10">
        <v>510000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8" t="s">
        <v>186</v>
      </c>
      <c r="B35" s="9">
        <v>46159</v>
      </c>
      <c r="C35" s="8" t="s">
        <v>111</v>
      </c>
      <c r="D35" s="8" t="s">
        <v>158</v>
      </c>
      <c r="E35" s="8" t="s">
        <v>159</v>
      </c>
      <c r="F35" s="8" t="s">
        <v>160</v>
      </c>
      <c r="G35" s="8" t="s">
        <v>161</v>
      </c>
      <c r="H35" s="10">
        <v>750000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8" t="s">
        <v>187</v>
      </c>
      <c r="B36" s="9">
        <v>46220</v>
      </c>
      <c r="C36" s="8" t="s">
        <v>111</v>
      </c>
      <c r="D36" s="8" t="s">
        <v>158</v>
      </c>
      <c r="E36" s="8" t="s">
        <v>159</v>
      </c>
      <c r="F36" s="8" t="s">
        <v>160</v>
      </c>
      <c r="G36" s="8" t="s">
        <v>161</v>
      </c>
      <c r="H36" s="10">
        <v>600000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8" t="s">
        <v>188</v>
      </c>
      <c r="B37" s="9">
        <v>46195</v>
      </c>
      <c r="C37" s="8" t="s">
        <v>111</v>
      </c>
      <c r="D37" s="8" t="s">
        <v>164</v>
      </c>
      <c r="E37" s="8" t="s">
        <v>165</v>
      </c>
      <c r="F37" s="8" t="s">
        <v>160</v>
      </c>
      <c r="G37" s="8" t="s">
        <v>166</v>
      </c>
      <c r="H37" s="10">
        <v>650000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8" t="s">
        <v>189</v>
      </c>
      <c r="B38" s="9">
        <v>46256</v>
      </c>
      <c r="C38" s="8" t="s">
        <v>111</v>
      </c>
      <c r="D38" s="8" t="s">
        <v>164</v>
      </c>
      <c r="E38" s="8" t="s">
        <v>165</v>
      </c>
      <c r="F38" s="8" t="s">
        <v>160</v>
      </c>
      <c r="G38" s="8" t="s">
        <v>166</v>
      </c>
      <c r="H38" s="10">
        <v>480000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8" t="s">
        <v>190</v>
      </c>
      <c r="B39" s="9">
        <v>46064</v>
      </c>
      <c r="C39" s="8" t="s">
        <v>116</v>
      </c>
      <c r="D39" s="8" t="s">
        <v>133</v>
      </c>
      <c r="E39" s="8" t="s">
        <v>134</v>
      </c>
      <c r="F39" s="8" t="s">
        <v>135</v>
      </c>
      <c r="G39" s="8" t="s">
        <v>136</v>
      </c>
      <c r="H39" s="10">
        <v>175000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8" t="s">
        <v>191</v>
      </c>
      <c r="B40" s="9">
        <v>46092</v>
      </c>
      <c r="C40" s="8" t="s">
        <v>116</v>
      </c>
      <c r="D40" s="8" t="s">
        <v>133</v>
      </c>
      <c r="E40" s="8" t="s">
        <v>138</v>
      </c>
      <c r="F40" s="8" t="s">
        <v>139</v>
      </c>
      <c r="G40" s="8" t="s">
        <v>136</v>
      </c>
      <c r="H40" s="10">
        <v>160000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8" t="s">
        <v>192</v>
      </c>
      <c r="B41" s="9">
        <v>46123</v>
      </c>
      <c r="C41" s="8" t="s">
        <v>116</v>
      </c>
      <c r="D41" s="8" t="s">
        <v>133</v>
      </c>
      <c r="E41" s="8" t="s">
        <v>141</v>
      </c>
      <c r="F41" s="8" t="s">
        <v>142</v>
      </c>
      <c r="G41" s="8" t="s">
        <v>136</v>
      </c>
      <c r="H41" s="10">
        <v>145000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8" t="s">
        <v>193</v>
      </c>
      <c r="B42" s="9">
        <v>46153</v>
      </c>
      <c r="C42" s="8" t="s">
        <v>116</v>
      </c>
      <c r="D42" s="8" t="s">
        <v>133</v>
      </c>
      <c r="E42" s="8" t="s">
        <v>144</v>
      </c>
      <c r="F42" s="8" t="s">
        <v>145</v>
      </c>
      <c r="G42" s="8" t="s">
        <v>136</v>
      </c>
      <c r="H42" s="10">
        <v>155000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8" t="s">
        <v>194</v>
      </c>
      <c r="B43" s="9">
        <v>46184</v>
      </c>
      <c r="C43" s="8" t="s">
        <v>116</v>
      </c>
      <c r="D43" s="8" t="s">
        <v>133</v>
      </c>
      <c r="E43" s="8" t="s">
        <v>147</v>
      </c>
      <c r="F43" s="8" t="s">
        <v>148</v>
      </c>
      <c r="G43" s="8" t="s">
        <v>136</v>
      </c>
      <c r="H43" s="10">
        <v>120000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8" t="s">
        <v>195</v>
      </c>
      <c r="B44" s="9">
        <v>46259</v>
      </c>
      <c r="C44" s="8" t="s">
        <v>116</v>
      </c>
      <c r="D44" s="8" t="s">
        <v>150</v>
      </c>
      <c r="E44" s="8" t="s">
        <v>151</v>
      </c>
      <c r="F44" s="8" t="s">
        <v>148</v>
      </c>
      <c r="G44" s="8" t="s">
        <v>152</v>
      </c>
      <c r="H44" s="10">
        <v>45000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8" t="s">
        <v>196</v>
      </c>
      <c r="B45" s="9">
        <v>46265</v>
      </c>
      <c r="C45" s="8" t="s">
        <v>116</v>
      </c>
      <c r="D45" s="8" t="s">
        <v>154</v>
      </c>
      <c r="E45" s="8" t="s">
        <v>155</v>
      </c>
      <c r="F45" s="8" t="s">
        <v>142</v>
      </c>
      <c r="G45" s="8" t="s">
        <v>156</v>
      </c>
      <c r="H45" s="10">
        <v>120000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8" t="s">
        <v>197</v>
      </c>
      <c r="B46" s="9">
        <v>46160</v>
      </c>
      <c r="C46" s="8" t="s">
        <v>116</v>
      </c>
      <c r="D46" s="8" t="s">
        <v>158</v>
      </c>
      <c r="E46" s="8" t="s">
        <v>159</v>
      </c>
      <c r="F46" s="8" t="s">
        <v>160</v>
      </c>
      <c r="G46" s="8" t="s">
        <v>161</v>
      </c>
      <c r="H46" s="10">
        <v>520000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8" t="s">
        <v>198</v>
      </c>
      <c r="B47" s="9">
        <v>46221</v>
      </c>
      <c r="C47" s="8" t="s">
        <v>116</v>
      </c>
      <c r="D47" s="8" t="s">
        <v>158</v>
      </c>
      <c r="E47" s="8" t="s">
        <v>159</v>
      </c>
      <c r="F47" s="8" t="s">
        <v>160</v>
      </c>
      <c r="G47" s="8" t="s">
        <v>161</v>
      </c>
      <c r="H47" s="10">
        <v>430000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8" t="s">
        <v>199</v>
      </c>
      <c r="B48" s="9">
        <v>46196</v>
      </c>
      <c r="C48" s="8" t="s">
        <v>116</v>
      </c>
      <c r="D48" s="8" t="s">
        <v>164</v>
      </c>
      <c r="E48" s="8" t="s">
        <v>165</v>
      </c>
      <c r="F48" s="8" t="s">
        <v>160</v>
      </c>
      <c r="G48" s="8" t="s">
        <v>166</v>
      </c>
      <c r="H48" s="10">
        <v>480000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8" t="s">
        <v>200</v>
      </c>
      <c r="B49" s="9">
        <v>46257</v>
      </c>
      <c r="C49" s="8" t="s">
        <v>116</v>
      </c>
      <c r="D49" s="8" t="s">
        <v>164</v>
      </c>
      <c r="E49" s="8" t="s">
        <v>165</v>
      </c>
      <c r="F49" s="8" t="s">
        <v>160</v>
      </c>
      <c r="G49" s="8" t="s">
        <v>166</v>
      </c>
      <c r="H49" s="10">
        <v>350000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8" t="s">
        <v>201</v>
      </c>
      <c r="B50" s="9">
        <v>46065</v>
      </c>
      <c r="C50" s="8" t="s">
        <v>120</v>
      </c>
      <c r="D50" s="8" t="s">
        <v>133</v>
      </c>
      <c r="E50" s="8" t="s">
        <v>134</v>
      </c>
      <c r="F50" s="8" t="s">
        <v>135</v>
      </c>
      <c r="G50" s="8" t="s">
        <v>136</v>
      </c>
      <c r="H50" s="10">
        <v>140000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8" t="s">
        <v>202</v>
      </c>
      <c r="B51" s="9">
        <v>46093</v>
      </c>
      <c r="C51" s="8" t="s">
        <v>120</v>
      </c>
      <c r="D51" s="8" t="s">
        <v>133</v>
      </c>
      <c r="E51" s="8" t="s">
        <v>138</v>
      </c>
      <c r="F51" s="8" t="s">
        <v>139</v>
      </c>
      <c r="G51" s="8" t="s">
        <v>136</v>
      </c>
      <c r="H51" s="10">
        <v>130000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8" t="s">
        <v>203</v>
      </c>
      <c r="B52" s="9">
        <v>46124</v>
      </c>
      <c r="C52" s="8" t="s">
        <v>120</v>
      </c>
      <c r="D52" s="8" t="s">
        <v>133</v>
      </c>
      <c r="E52" s="8" t="s">
        <v>141</v>
      </c>
      <c r="F52" s="8" t="s">
        <v>142</v>
      </c>
      <c r="G52" s="8" t="s">
        <v>136</v>
      </c>
      <c r="H52" s="10">
        <v>125000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8" t="s">
        <v>204</v>
      </c>
      <c r="B53" s="9">
        <v>46154</v>
      </c>
      <c r="C53" s="8" t="s">
        <v>120</v>
      </c>
      <c r="D53" s="8" t="s">
        <v>133</v>
      </c>
      <c r="E53" s="8" t="s">
        <v>144</v>
      </c>
      <c r="F53" s="8" t="s">
        <v>145</v>
      </c>
      <c r="G53" s="8" t="s">
        <v>136</v>
      </c>
      <c r="H53" s="10">
        <v>110000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8" t="s">
        <v>205</v>
      </c>
      <c r="B54" s="9">
        <v>46185</v>
      </c>
      <c r="C54" s="8" t="s">
        <v>120</v>
      </c>
      <c r="D54" s="8" t="s">
        <v>133</v>
      </c>
      <c r="E54" s="8" t="s">
        <v>147</v>
      </c>
      <c r="F54" s="8" t="s">
        <v>148</v>
      </c>
      <c r="G54" s="8" t="s">
        <v>136</v>
      </c>
      <c r="H54" s="10">
        <v>105000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8" t="s">
        <v>206</v>
      </c>
      <c r="B55" s="9">
        <v>46258</v>
      </c>
      <c r="C55" s="8" t="s">
        <v>120</v>
      </c>
      <c r="D55" s="8" t="s">
        <v>150</v>
      </c>
      <c r="E55" s="8" t="s">
        <v>151</v>
      </c>
      <c r="F55" s="8" t="s">
        <v>148</v>
      </c>
      <c r="G55" s="8" t="s">
        <v>152</v>
      </c>
      <c r="H55" s="10">
        <v>90000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8" t="s">
        <v>207</v>
      </c>
      <c r="B56" s="9">
        <v>46265</v>
      </c>
      <c r="C56" s="8" t="s">
        <v>120</v>
      </c>
      <c r="D56" s="8" t="s">
        <v>154</v>
      </c>
      <c r="E56" s="8" t="s">
        <v>155</v>
      </c>
      <c r="F56" s="8" t="s">
        <v>142</v>
      </c>
      <c r="G56" s="8" t="s">
        <v>156</v>
      </c>
      <c r="H56" s="10">
        <v>420000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8" t="s">
        <v>208</v>
      </c>
      <c r="B57" s="9">
        <v>46161</v>
      </c>
      <c r="C57" s="8" t="s">
        <v>120</v>
      </c>
      <c r="D57" s="8" t="s">
        <v>158</v>
      </c>
      <c r="E57" s="8" t="s">
        <v>159</v>
      </c>
      <c r="F57" s="8" t="s">
        <v>160</v>
      </c>
      <c r="G57" s="8" t="s">
        <v>161</v>
      </c>
      <c r="H57" s="10">
        <v>500000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8" t="s">
        <v>209</v>
      </c>
      <c r="B58" s="9">
        <v>46222</v>
      </c>
      <c r="C58" s="8" t="s">
        <v>120</v>
      </c>
      <c r="D58" s="8" t="s">
        <v>158</v>
      </c>
      <c r="E58" s="8" t="s">
        <v>159</v>
      </c>
      <c r="F58" s="8" t="s">
        <v>160</v>
      </c>
      <c r="G58" s="8" t="s">
        <v>161</v>
      </c>
      <c r="H58" s="10">
        <v>360000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8" t="s">
        <v>210</v>
      </c>
      <c r="B59" s="9">
        <v>46197</v>
      </c>
      <c r="C59" s="8" t="s">
        <v>120</v>
      </c>
      <c r="D59" s="8" t="s">
        <v>164</v>
      </c>
      <c r="E59" s="8" t="s">
        <v>165</v>
      </c>
      <c r="F59" s="8" t="s">
        <v>160</v>
      </c>
      <c r="G59" s="8" t="s">
        <v>166</v>
      </c>
      <c r="H59" s="10">
        <v>390000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8" t="s">
        <v>211</v>
      </c>
      <c r="B60" s="9">
        <v>46258</v>
      </c>
      <c r="C60" s="8" t="s">
        <v>120</v>
      </c>
      <c r="D60" s="8" t="s">
        <v>164</v>
      </c>
      <c r="E60" s="8" t="s">
        <v>165</v>
      </c>
      <c r="F60" s="8" t="s">
        <v>160</v>
      </c>
      <c r="G60" s="8" t="s">
        <v>166</v>
      </c>
      <c r="H60" s="10">
        <v>250000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33"/>
      <c r="I64" s="3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3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"/>
  <sheetViews>
    <sheetView showGridLines="0" workbookViewId="0"/>
  </sheetViews>
  <sheetFormatPr baseColWidth="10" defaultColWidth="8.83203125" defaultRowHeight="14"/>
  <cols>
    <col min="1" max="1" width="28" customWidth="1"/>
    <col min="2" max="4" width="18" customWidth="1"/>
    <col min="5" max="5" width="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">
      <c r="A2" s="2" t="s">
        <v>212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3" t="s">
        <v>213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">
      <c r="A6" s="5" t="s">
        <v>214</v>
      </c>
      <c r="B6" s="6" t="s">
        <v>215</v>
      </c>
      <c r="C6" s="6" t="s">
        <v>216</v>
      </c>
      <c r="D6" s="7" t="s">
        <v>217</v>
      </c>
      <c r="E6" s="47" t="s">
        <v>10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218</v>
      </c>
      <c r="B7" s="48">
        <f>'Financial Model'!E14</f>
        <v>4495000</v>
      </c>
      <c r="C7" s="48">
        <f>SUMIFS(Transactions!$H$6:$H$60,Transactions!$D$6:$D$60,"Vendor Invoice")+SUMIFS(Transactions!$H$6:$H$60,Transactions!$D$6:$D$60,"Accrual")</f>
        <v>4495000</v>
      </c>
      <c r="D7" s="48">
        <f>B7-C7</f>
        <v>0</v>
      </c>
      <c r="E7" s="49" t="str">
        <f>IF(ABS(D7)&lt;0.01,"OK","Review")</f>
        <v>OK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219</v>
      </c>
      <c r="B8" s="48">
        <f>'Financial Model'!M14</f>
        <v>5410000</v>
      </c>
      <c r="C8" s="48">
        <f>SUMIFS(Transactions!$H$6:$H$60,Transactions!$D$6:$D$60,"Client Billing")</f>
        <v>5410000</v>
      </c>
      <c r="D8" s="48">
        <f>B8-C8</f>
        <v>0</v>
      </c>
      <c r="E8" s="49" t="str">
        <f>IF(ABS(D8)&lt;0.01,"OK","Review")</f>
        <v>OK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220</v>
      </c>
      <c r="B9" s="48">
        <f>'Financial Model'!N14</f>
        <v>4410000</v>
      </c>
      <c r="C9" s="48">
        <f>SUMIFS(Transactions!$H$6:$H$60,Transactions!$D$6:$D$60,"Cash Receipt")</f>
        <v>4410000</v>
      </c>
      <c r="D9" s="48">
        <f>B9-C9</f>
        <v>0</v>
      </c>
      <c r="E9" s="49" t="str">
        <f>IF(ABS(D9)&lt;0.01,"OK","Review")</f>
        <v>OK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3</v>
      </c>
      <c r="B10" s="48">
        <f>'Financial Model'!D14</f>
        <v>7225000</v>
      </c>
      <c r="C10" s="48">
        <f>SUM('Project Master'!H6:H10)+SUM('Project Master'!I6:I10)</f>
        <v>7225000</v>
      </c>
      <c r="D10" s="48">
        <f>B10-C10</f>
        <v>0</v>
      </c>
      <c r="E10" s="49" t="str">
        <f>IF(ABS(D10)&lt;0.01,"OK","Review")</f>
        <v>OK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 t="s">
        <v>221</v>
      </c>
      <c r="B11" s="48">
        <f>SUM('Cash Forecast'!C17:O17)-SUM('Cash Forecast'!C9:O9)-SUM('Cash Forecast'!C16:O16)</f>
        <v>0</v>
      </c>
      <c r="C11" s="48">
        <f>0</f>
        <v>0</v>
      </c>
      <c r="D11" s="48">
        <f>B11-C11</f>
        <v>0</v>
      </c>
      <c r="E11" s="49" t="str">
        <f>IF(ABS(D11)&lt;0.01,"OK","Review")</f>
        <v>OK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conditionalFormatting sqref="D7:D11">
    <cfRule type="cellIs" dxfId="2" priority="1" operator="notEqual">
      <formula>0</formula>
    </cfRule>
  </conditionalFormatting>
  <conditionalFormatting sqref="E7:E11">
    <cfRule type="containsText" dxfId="1" priority="2" operator="containsText" text="Review"/>
    <cfRule type="containsText" dxfId="0" priority="3" operator="containsText" text="OK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5A5A5"/>
  </sheetPr>
  <dimension ref="A1:Z100"/>
  <sheetViews>
    <sheetView showGridLines="0" workbookViewId="0">
      <selection activeCell="E7" sqref="E7"/>
    </sheetView>
  </sheetViews>
  <sheetFormatPr baseColWidth="10" defaultColWidth="8.83203125" defaultRowHeight="14"/>
  <cols>
    <col min="1" max="1" width="22" customWidth="1"/>
    <col min="2" max="2" width="92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">
      <c r="A2" s="2" t="s">
        <v>222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3" t="s">
        <v>223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5" t="s">
        <v>224</v>
      </c>
      <c r="B6" s="6" t="s">
        <v>225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4" customHeight="1">
      <c r="A7" s="22" t="s">
        <v>226</v>
      </c>
      <c r="B7" s="50" t="s">
        <v>227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4" customHeight="1">
      <c r="A8" s="22" t="s">
        <v>228</v>
      </c>
      <c r="B8" s="50" t="s">
        <v>229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4" customHeight="1">
      <c r="A9" s="22" t="s">
        <v>230</v>
      </c>
      <c r="B9" s="50" t="s">
        <v>231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4" customHeight="1">
      <c r="A10" s="22" t="s">
        <v>232</v>
      </c>
      <c r="B10" s="50" t="s">
        <v>233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4" customHeight="1">
      <c r="A11" s="22" t="s">
        <v>234</v>
      </c>
      <c r="B11" s="50" t="s">
        <v>235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4" customHeight="1">
      <c r="A12" s="22" t="s">
        <v>236</v>
      </c>
      <c r="B12" s="50" t="s">
        <v>237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4" customHeight="1">
      <c r="A13" s="22" t="s">
        <v>238</v>
      </c>
      <c r="B13" s="50" t="s">
        <v>239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4" customHeight="1">
      <c r="A14" s="51" t="s">
        <v>240</v>
      </c>
      <c r="B14" s="52" t="s">
        <v>241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Assumptions</vt:lpstr>
      <vt:lpstr>Financial Model</vt:lpstr>
      <vt:lpstr>Cash Forecast</vt:lpstr>
      <vt:lpstr>Project Master</vt:lpstr>
      <vt:lpstr>Transactions</vt:lpstr>
      <vt:lpstr>Model Checks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Prince Patel</cp:lastModifiedBy>
  <dcterms:created xsi:type="dcterms:W3CDTF">2026-09-19T20:25:20Z</dcterms:created>
  <dcterms:modified xsi:type="dcterms:W3CDTF">2026-10-04T03:36:41Z</dcterms:modified>
</cp:coreProperties>
</file>